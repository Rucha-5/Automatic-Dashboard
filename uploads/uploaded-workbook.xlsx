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uchita.s\Downloads\"/>
    </mc:Choice>
  </mc:AlternateContent>
  <xr:revisionPtr revIDLastSave="0" documentId="13_ncr:1_{6DC402D8-18BA-4F64-BAD8-6AA603E6BCD0}" xr6:coauthVersionLast="47" xr6:coauthVersionMax="47" xr10:uidLastSave="{00000000-0000-0000-0000-000000000000}"/>
  <bookViews>
    <workbookView xWindow="-110" yWindow="-110" windowWidth="19420" windowHeight="10300" xr2:uid="{44795AC0-B470-491D-BA48-FB45A3141AF9}"/>
  </bookViews>
  <sheets>
    <sheet name="Summary" sheetId="16" r:id="rId1"/>
    <sheet name="Critical Jobs &gt; 10 Days" sheetId="1" r:id="rId2"/>
    <sheet name=" Critical Jobs &gt; 200 Hrs" sheetId="2" r:id="rId3"/>
    <sheet name="Non Critical Jobs &gt; 1 Month" sheetId="3" r:id="rId4"/>
    <sheet name="Non-Critical Jobs &gt; 500 Hrs" sheetId="4" r:id="rId5"/>
    <sheet name="Counters Not Updated" sheetId="5" r:id="rId6"/>
    <sheet name="Critical Spares &lt; Min. Stock" sheetId="6" r:id="rId7"/>
    <sheet name="WO's Awaiting Approval" sheetId="7" r:id="rId8"/>
    <sheet name="Expired Certificates" sheetId="8" r:id="rId9"/>
    <sheet name="Certificates Awaiting Approval" sheetId="9" r:id="rId10"/>
    <sheet name="Overdue Surveys" sheetId="10" r:id="rId11"/>
    <sheet name="Expired Defects" sheetId="11" r:id="rId12"/>
    <sheet name="Vir defects" sheetId="12" r:id="rId13"/>
    <sheet name="VIR Reports" sheetId="13" r:id="rId14"/>
    <sheet name="Audit Reports" sheetId="14" r:id="rId15"/>
    <sheet name="All inspections" sheetId="15" r:id="rId16"/>
  </sheets>
  <externalReferences>
    <externalReference r:id="rId17"/>
    <externalReference r:id="rId18"/>
  </externalReferences>
  <definedNames>
    <definedName name="_xlnm._FilterDatabase" localSheetId="2" hidden="1">' Critical Jobs &gt; 200 Hrs'!$A$2:$AJ$2</definedName>
    <definedName name="_xlnm._FilterDatabase" localSheetId="15" hidden="1">'All inspections'!$A$2:$S$2</definedName>
    <definedName name="_xlnm._FilterDatabase" localSheetId="14" hidden="1">'Audit Reports'!$A$2:$S$2</definedName>
    <definedName name="_xlnm._FilterDatabase" localSheetId="5" hidden="1">'Counters Not Updated'!$A$2:$K$170</definedName>
    <definedName name="_xlnm._FilterDatabase" localSheetId="1" hidden="1">'Critical Jobs &gt; 10 Days'!$A$2:$AI$2</definedName>
    <definedName name="_xlnm._FilterDatabase" localSheetId="3" hidden="1">'Non Critical Jobs &gt; 1 Month'!$A$2:$AJ$126</definedName>
    <definedName name="_xlnm._FilterDatabase" localSheetId="4" hidden="1">'Non-Critical Jobs &gt; 500 Hrs'!$A$2:$AI$51</definedName>
    <definedName name="_xlnm._FilterDatabase" localSheetId="12" hidden="1">'Vir defects'!$A$2:$L$2</definedName>
    <definedName name="_xlnm._FilterDatabase" localSheetId="13" hidden="1">'VIR Reports'!$A$2:$S$2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12" l="1"/>
  <c r="E5" i="12"/>
  <c r="E6" i="12"/>
  <c r="E7" i="12"/>
  <c r="E8" i="12"/>
  <c r="E9" i="12"/>
  <c r="E10" i="12"/>
  <c r="E11" i="12"/>
  <c r="E12" i="12"/>
  <c r="E13" i="12"/>
  <c r="E3" i="12"/>
  <c r="D4" i="12"/>
  <c r="D5" i="12"/>
  <c r="D6" i="12"/>
  <c r="D7" i="12"/>
  <c r="D8" i="12"/>
  <c r="D9" i="12"/>
  <c r="D10" i="12"/>
  <c r="D11" i="12"/>
  <c r="D12" i="12"/>
  <c r="D13" i="12"/>
  <c r="D3" i="12"/>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N133" i="9"/>
  <c r="H133" i="9"/>
  <c r="N132" i="9"/>
  <c r="H132" i="9"/>
  <c r="N131" i="9"/>
  <c r="H131" i="9"/>
  <c r="N130" i="9"/>
  <c r="H130" i="9"/>
  <c r="N129" i="9"/>
  <c r="H129" i="9"/>
  <c r="N128" i="9"/>
  <c r="H128" i="9"/>
  <c r="N127" i="9"/>
  <c r="H127" i="9"/>
  <c r="N126" i="9"/>
  <c r="H126" i="9"/>
  <c r="N125" i="9"/>
  <c r="H125" i="9"/>
  <c r="N124" i="9"/>
  <c r="H124" i="9"/>
  <c r="N123" i="9"/>
  <c r="H123" i="9"/>
  <c r="N122" i="9"/>
  <c r="H122" i="9"/>
  <c r="N121" i="9"/>
  <c r="H121" i="9"/>
  <c r="N120" i="9"/>
  <c r="H120" i="9"/>
  <c r="N119" i="9"/>
  <c r="H119" i="9"/>
  <c r="N118" i="9"/>
  <c r="H118" i="9"/>
  <c r="N117" i="9"/>
  <c r="H117" i="9"/>
  <c r="N116" i="9"/>
  <c r="H116" i="9"/>
  <c r="N115" i="9"/>
  <c r="H115" i="9"/>
  <c r="N114" i="9"/>
  <c r="H114" i="9"/>
  <c r="N113" i="9"/>
  <c r="H113" i="9"/>
  <c r="N112" i="9"/>
  <c r="H112" i="9"/>
  <c r="N111" i="9"/>
  <c r="H111" i="9"/>
  <c r="N110" i="9"/>
  <c r="H110" i="9"/>
  <c r="N109" i="9"/>
  <c r="H109" i="9"/>
  <c r="N108" i="9"/>
  <c r="H108" i="9"/>
  <c r="N107" i="9"/>
  <c r="H107" i="9"/>
  <c r="N106" i="9"/>
  <c r="H106" i="9"/>
  <c r="N105" i="9"/>
  <c r="H105" i="9"/>
  <c r="N104" i="9"/>
  <c r="H104" i="9"/>
  <c r="N103" i="9"/>
  <c r="H103" i="9"/>
  <c r="N102" i="9"/>
  <c r="H102" i="9"/>
  <c r="N101" i="9"/>
  <c r="H101" i="9"/>
  <c r="N100" i="9"/>
  <c r="H100" i="9"/>
  <c r="N99" i="9"/>
  <c r="H99" i="9"/>
  <c r="N98" i="9"/>
  <c r="H98" i="9"/>
  <c r="N97" i="9"/>
  <c r="H97" i="9"/>
  <c r="N96" i="9"/>
  <c r="H96" i="9"/>
  <c r="N95" i="9"/>
  <c r="H95" i="9"/>
  <c r="N94" i="9"/>
  <c r="H94" i="9"/>
  <c r="N93" i="9"/>
  <c r="H93" i="9"/>
  <c r="N92" i="9"/>
  <c r="H92" i="9"/>
  <c r="N91" i="9"/>
  <c r="H91" i="9"/>
  <c r="N90" i="9"/>
  <c r="H90" i="9"/>
  <c r="N89" i="9"/>
  <c r="H89" i="9"/>
  <c r="N88" i="9"/>
  <c r="H88" i="9"/>
  <c r="N87" i="9"/>
  <c r="H87" i="9"/>
  <c r="N86" i="9"/>
  <c r="H86" i="9"/>
  <c r="N85" i="9"/>
  <c r="H85" i="9"/>
  <c r="N84" i="9"/>
  <c r="H84" i="9"/>
  <c r="N83" i="9"/>
  <c r="H83" i="9"/>
  <c r="N82" i="9"/>
  <c r="H82" i="9"/>
  <c r="N81" i="9"/>
  <c r="H81" i="9"/>
  <c r="N80" i="9"/>
  <c r="H80" i="9"/>
  <c r="N79" i="9"/>
  <c r="H79" i="9"/>
  <c r="N78" i="9"/>
  <c r="H78" i="9"/>
  <c r="N77" i="9"/>
  <c r="H77" i="9"/>
  <c r="N76" i="9"/>
  <c r="H76" i="9"/>
  <c r="N75" i="9"/>
  <c r="H75" i="9"/>
  <c r="N74" i="9"/>
  <c r="H74" i="9"/>
  <c r="N73" i="9"/>
  <c r="H73" i="9"/>
  <c r="N72" i="9"/>
  <c r="H72" i="9"/>
  <c r="N71" i="9"/>
  <c r="H71" i="9"/>
  <c r="N70" i="9"/>
  <c r="H70" i="9"/>
  <c r="N69" i="9"/>
  <c r="H69" i="9"/>
  <c r="N68" i="9"/>
  <c r="H68" i="9"/>
  <c r="N67" i="9"/>
  <c r="H67" i="9"/>
  <c r="N66" i="9"/>
  <c r="H66" i="9"/>
  <c r="N65" i="9"/>
  <c r="H65" i="9"/>
  <c r="N64" i="9"/>
  <c r="H64" i="9"/>
  <c r="N63" i="9"/>
  <c r="H63" i="9"/>
  <c r="N62" i="9"/>
  <c r="H62" i="9"/>
  <c r="N61" i="9"/>
  <c r="H61" i="9"/>
  <c r="N60" i="9"/>
  <c r="H60" i="9"/>
  <c r="N59" i="9"/>
  <c r="H59" i="9"/>
  <c r="N58" i="9"/>
  <c r="H58" i="9"/>
  <c r="N57" i="9"/>
  <c r="H57" i="9"/>
  <c r="N56" i="9"/>
  <c r="H56" i="9"/>
  <c r="N55" i="9"/>
  <c r="H55" i="9"/>
  <c r="N54" i="9"/>
  <c r="H54" i="9"/>
  <c r="N53" i="9"/>
  <c r="H53" i="9"/>
  <c r="N52" i="9"/>
  <c r="H52" i="9"/>
  <c r="N51" i="9"/>
  <c r="H51" i="9"/>
  <c r="N50" i="9"/>
  <c r="H50" i="9"/>
  <c r="N49" i="9"/>
  <c r="H49" i="9"/>
  <c r="N48" i="9"/>
  <c r="H48" i="9"/>
  <c r="N47" i="9"/>
  <c r="H47" i="9"/>
  <c r="N46" i="9"/>
  <c r="H46" i="9"/>
  <c r="N45" i="9"/>
  <c r="H45" i="9"/>
  <c r="N44" i="9"/>
  <c r="H44" i="9"/>
  <c r="N43" i="9"/>
  <c r="H43" i="9"/>
  <c r="N42" i="9"/>
  <c r="H42" i="9"/>
  <c r="N41" i="9"/>
  <c r="H41" i="9"/>
  <c r="N40" i="9"/>
  <c r="H40" i="9"/>
  <c r="N39" i="9"/>
  <c r="H39" i="9"/>
  <c r="N38" i="9"/>
  <c r="H38" i="9"/>
  <c r="N37" i="9"/>
  <c r="H37" i="9"/>
  <c r="N36" i="9"/>
  <c r="H36" i="9"/>
  <c r="N35" i="9"/>
  <c r="H35" i="9"/>
  <c r="N34" i="9"/>
  <c r="H34" i="9"/>
  <c r="N33" i="9"/>
  <c r="H33" i="9"/>
  <c r="N32" i="9"/>
  <c r="H32" i="9"/>
  <c r="N31" i="9"/>
  <c r="H31" i="9"/>
  <c r="N30" i="9"/>
  <c r="H30" i="9"/>
  <c r="N29" i="9"/>
  <c r="H29" i="9"/>
  <c r="N28" i="9"/>
  <c r="H28" i="9"/>
  <c r="N27" i="9"/>
  <c r="H27" i="9"/>
  <c r="N26" i="9"/>
  <c r="H26" i="9"/>
  <c r="N25" i="9"/>
  <c r="H25" i="9"/>
  <c r="N24" i="9"/>
  <c r="H24" i="9"/>
  <c r="N23" i="9"/>
  <c r="H23" i="9"/>
  <c r="N22" i="9"/>
  <c r="H22" i="9"/>
  <c r="N21" i="9"/>
  <c r="H21" i="9"/>
  <c r="N20" i="9"/>
  <c r="H20" i="9"/>
  <c r="N19" i="9"/>
  <c r="H19" i="9"/>
  <c r="N18" i="9"/>
  <c r="H18" i="9"/>
  <c r="N17" i="9"/>
  <c r="H17" i="9"/>
  <c r="N16" i="9"/>
  <c r="H16" i="9"/>
  <c r="N15" i="9"/>
  <c r="H15" i="9"/>
  <c r="N14" i="9"/>
  <c r="H14" i="9"/>
  <c r="N13" i="9"/>
  <c r="H13" i="9"/>
  <c r="N12" i="9"/>
  <c r="H12" i="9"/>
  <c r="N11" i="9"/>
  <c r="H11" i="9"/>
  <c r="N10" i="9"/>
  <c r="H10" i="9"/>
  <c r="N9" i="9"/>
  <c r="H9" i="9"/>
  <c r="N8" i="9"/>
  <c r="H8" i="9"/>
  <c r="N7" i="9"/>
  <c r="H7" i="9"/>
  <c r="N6" i="9"/>
  <c r="H6" i="9"/>
  <c r="N5" i="9"/>
  <c r="H5" i="9"/>
  <c r="N4" i="9"/>
  <c r="H4" i="9"/>
  <c r="N3" i="9"/>
  <c r="H3" i="9"/>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W6" i="6"/>
  <c r="W5" i="6"/>
  <c r="W4" i="6"/>
  <c r="W3" i="6"/>
</calcChain>
</file>

<file path=xl/sharedStrings.xml><?xml version="1.0" encoding="utf-8"?>
<sst xmlns="http://schemas.openxmlformats.org/spreadsheetml/2006/main" count="13440" uniqueCount="2105">
  <si>
    <t>No.</t>
  </si>
  <si>
    <t>Critical Code</t>
  </si>
  <si>
    <t>Title</t>
  </si>
  <si>
    <t>Vessel</t>
  </si>
  <si>
    <t>Vessel Name</t>
  </si>
  <si>
    <t>Tsi</t>
  </si>
  <si>
    <t>Fleet</t>
  </si>
  <si>
    <t>Function No.</t>
  </si>
  <si>
    <t>Function Description</t>
  </si>
  <si>
    <t>Interval</t>
  </si>
  <si>
    <t>Due Status</t>
  </si>
  <si>
    <t>Work Order Status</t>
  </si>
  <si>
    <t>Due Date</t>
  </si>
  <si>
    <t>Due Counter Value</t>
  </si>
  <si>
    <t>Overdue Days</t>
  </si>
  <si>
    <t>Overdue Countervalues</t>
  </si>
  <si>
    <t>Responsible Rank</t>
  </si>
  <si>
    <t>Project</t>
  </si>
  <si>
    <t>Type of Activity Code</t>
  </si>
  <si>
    <t>Work Plan Title</t>
  </si>
  <si>
    <t>Work Plan Version No.</t>
  </si>
  <si>
    <t>Class Code</t>
  </si>
  <si>
    <t>No of PO/PR</t>
  </si>
  <si>
    <t>PR/PO No</t>
  </si>
  <si>
    <t>Approval Status</t>
  </si>
  <si>
    <t>TMDS Template No.</t>
  </si>
  <si>
    <t>TMDS</t>
  </si>
  <si>
    <t>Cluster</t>
  </si>
  <si>
    <t>Deferment</t>
  </si>
  <si>
    <t>Last Done Date</t>
  </si>
  <si>
    <t>Last Done Counter</t>
  </si>
  <si>
    <t>Days Since Last Done</t>
  </si>
  <si>
    <t>Value Since Last Done</t>
  </si>
  <si>
    <t>Finished Date-Time</t>
  </si>
  <si>
    <t>Finished Counter Value</t>
  </si>
  <si>
    <t>EVGE.24.7973</t>
  </si>
  <si>
    <t>CRITICAL</t>
  </si>
  <si>
    <t>BALLAST WATER EFFLUENT BIO. ORG. MONITORING - VGP</t>
  </si>
  <si>
    <t>EVGE</t>
  </si>
  <si>
    <t>BALB</t>
  </si>
  <si>
    <t>Ballast Water Treatment System</t>
  </si>
  <si>
    <t>12M</t>
  </si>
  <si>
    <t>Overdue</t>
  </si>
  <si>
    <t>In Progress</t>
  </si>
  <si>
    <t>CHIEF OFFICER</t>
  </si>
  <si>
    <t/>
  </si>
  <si>
    <t xml:space="preserve"> </t>
  </si>
  <si>
    <t>TMDS-0007</t>
  </si>
  <si>
    <t>608</t>
  </si>
  <si>
    <t>MEGS.25.3555</t>
  </si>
  <si>
    <t>BALLAST WATER MONITORING EQPT. CALIBRATION - VGP</t>
  </si>
  <si>
    <t>MEGS</t>
  </si>
  <si>
    <t>Execution</t>
  </si>
  <si>
    <t>403</t>
  </si>
  <si>
    <t>EVGL.26.1686</t>
  </si>
  <si>
    <t>SSAS ROUTINES</t>
  </si>
  <si>
    <t>EVGL</t>
  </si>
  <si>
    <t>3M</t>
  </si>
  <si>
    <t>MASTER</t>
  </si>
  <si>
    <t>111</t>
  </si>
  <si>
    <t>FAFO.24.3848</t>
  </si>
  <si>
    <t>15 PPM MONITOR BACK UP BATTERY REPLACEMENT</t>
  </si>
  <si>
    <t>FAFO</t>
  </si>
  <si>
    <t>24M</t>
  </si>
  <si>
    <t>CHIEF ENGINEER</t>
  </si>
  <si>
    <t>748</t>
  </si>
  <si>
    <t>CASA.26.2112</t>
  </si>
  <si>
    <t>CASA</t>
  </si>
  <si>
    <t>105</t>
  </si>
  <si>
    <t xml:space="preserve">Vessel Name </t>
  </si>
  <si>
    <t>COME.26.4968</t>
  </si>
  <si>
    <t>SCR AIR COMPRESSOR 1000 HOURS ROUTINES</t>
  </si>
  <si>
    <t>COME</t>
  </si>
  <si>
    <t>EGS22</t>
  </si>
  <si>
    <t>SCR Air Compressor</t>
  </si>
  <si>
    <t>1,000</t>
  </si>
  <si>
    <t>4TH ENGINEER</t>
  </si>
  <si>
    <t>40</t>
  </si>
  <si>
    <t>COME.26.4894</t>
  </si>
  <si>
    <t>SCR AIR COMPRESSOR 2000 HOURS ROUTINES</t>
  </si>
  <si>
    <t>2,000</t>
  </si>
  <si>
    <t>16</t>
  </si>
  <si>
    <t>SURV.26.4802</t>
  </si>
  <si>
    <t>PURIFIER 3 MONTHLY ROUTINES</t>
  </si>
  <si>
    <t>SURV</t>
  </si>
  <si>
    <t>LOP1(1)</t>
  </si>
  <si>
    <t>ME LO Purifier</t>
  </si>
  <si>
    <t>3</t>
  </si>
  <si>
    <t>BJAG.26.5396</t>
  </si>
  <si>
    <t>AE ALTERNATOR MEGGER TEST</t>
  </si>
  <si>
    <t>BJAG</t>
  </si>
  <si>
    <t>AE14[3]</t>
  </si>
  <si>
    <t>#3 AE Alternator</t>
  </si>
  <si>
    <t>500</t>
  </si>
  <si>
    <t>ELECT ENGINEER</t>
  </si>
  <si>
    <t>24</t>
  </si>
  <si>
    <t>MSQA.26.3692</t>
  </si>
  <si>
    <t>ENVIRONMENTAL MONTHLY RECORDS ROUTINES - DECK</t>
  </si>
  <si>
    <t>MSQA</t>
  </si>
  <si>
    <t>1M</t>
  </si>
  <si>
    <t>INSPECTION</t>
  </si>
  <si>
    <t>TMDS-0004A</t>
  </si>
  <si>
    <t>54</t>
  </si>
  <si>
    <t>FLOY.26.4860</t>
  </si>
  <si>
    <t>AE FUEL INJECTOR ROUTINES</t>
  </si>
  <si>
    <t>FLOY</t>
  </si>
  <si>
    <t>AE5.2[3](1)</t>
  </si>
  <si>
    <t>#3 AE Fuel Valve #1</t>
  </si>
  <si>
    <t>1,500</t>
  </si>
  <si>
    <t>3RD ENGINEER</t>
  </si>
  <si>
    <t>1</t>
  </si>
  <si>
    <t>MGCR.26.4322</t>
  </si>
  <si>
    <t>SCR AIR COMPRESSOR 8000 HOURS ROUTINES</t>
  </si>
  <si>
    <t>MGCR</t>
  </si>
  <si>
    <t>8,000</t>
  </si>
  <si>
    <t>10</t>
  </si>
  <si>
    <t>MSAL.26.3439</t>
  </si>
  <si>
    <t>ENVIRONMENTAL MONTHLY RECORDS ROUTINES</t>
  </si>
  <si>
    <t>MSAL</t>
  </si>
  <si>
    <t>ENVIRONMENTAL MONTHLY RECORDS ROUTINES - ENGINE</t>
  </si>
  <si>
    <t>TMDS-0004</t>
  </si>
  <si>
    <t>15</t>
  </si>
  <si>
    <t>AFLO.25.1932</t>
  </si>
  <si>
    <t>ME FUEL INJECTION PUMP OVERHAUL</t>
  </si>
  <si>
    <t>AFLO</t>
  </si>
  <si>
    <t>16,000</t>
  </si>
  <si>
    <t>2ND ENGINEER</t>
  </si>
  <si>
    <t>460</t>
  </si>
  <si>
    <t>AFLO.25.1933</t>
  </si>
  <si>
    <t>BWTG.26.5176</t>
  </si>
  <si>
    <t>BWTG</t>
  </si>
  <si>
    <t>98</t>
  </si>
  <si>
    <t>AFLO.24.8057</t>
  </si>
  <si>
    <t>1365</t>
  </si>
  <si>
    <t>EBOS.26.4602</t>
  </si>
  <si>
    <t>EBOS</t>
  </si>
  <si>
    <t>AE14[4]</t>
  </si>
  <si>
    <t>#4 AE Alternator</t>
  </si>
  <si>
    <t>277</t>
  </si>
  <si>
    <t>CATA.22.2472</t>
  </si>
  <si>
    <t>AE CON.ROD BOLT RENEWAL</t>
  </si>
  <si>
    <t>CATA</t>
  </si>
  <si>
    <t>32,000</t>
  </si>
  <si>
    <t>CATA.22.2474</t>
  </si>
  <si>
    <t>CATA.22.2483</t>
  </si>
  <si>
    <t>CATA.22.2485</t>
  </si>
  <si>
    <t>CATA.22.2488</t>
  </si>
  <si>
    <t>CATA.22.2530</t>
  </si>
  <si>
    <t>CATA.22.2533</t>
  </si>
  <si>
    <t>CATA.22.2534</t>
  </si>
  <si>
    <t>CATA.22.2541</t>
  </si>
  <si>
    <t>AFLO.25.3045</t>
  </si>
  <si>
    <t>ME UNIT DECARBONIZATION</t>
  </si>
  <si>
    <t>2294</t>
  </si>
  <si>
    <t>AFLO.24.8056</t>
  </si>
  <si>
    <t>1221</t>
  </si>
  <si>
    <t>SENA.25.2299</t>
  </si>
  <si>
    <t>TOP SIDE BALLAST WATER TANK INSPECTION</t>
  </si>
  <si>
    <t>SENA</t>
  </si>
  <si>
    <t>BALA1(4TP)</t>
  </si>
  <si>
    <t>Ballast Tank #4 (Port - TST)</t>
  </si>
  <si>
    <t>6M</t>
  </si>
  <si>
    <t>464</t>
  </si>
  <si>
    <t>SENA.25.2300</t>
  </si>
  <si>
    <t>BALA1(4TS)</t>
  </si>
  <si>
    <t>Ballast Tank #4 (Stbd - TST)</t>
  </si>
  <si>
    <t>MSQA.25.7645</t>
  </si>
  <si>
    <t>SEEMP EVALUATION (MASTER)</t>
  </si>
  <si>
    <t>Requested</t>
  </si>
  <si>
    <t>SENA.25.3947</t>
  </si>
  <si>
    <t>BALA1(6TS)</t>
  </si>
  <si>
    <t>Ballast Tank #6 (Stbd - TST)</t>
  </si>
  <si>
    <t>Deferment Requested</t>
  </si>
  <si>
    <t>406</t>
  </si>
  <si>
    <t>SENA.25.3948</t>
  </si>
  <si>
    <t>BALA1(6TP)</t>
  </si>
  <si>
    <t>Ballast Tank #6 (Port - TST)</t>
  </si>
  <si>
    <t>CATA.22.2555</t>
  </si>
  <si>
    <t>CATA.22.2558</t>
  </si>
  <si>
    <t>CATA.22.2615</t>
  </si>
  <si>
    <t>CATA.22.2618</t>
  </si>
  <si>
    <t>CATA.22.2619</t>
  </si>
  <si>
    <t>CATA.22.2632</t>
  </si>
  <si>
    <t>CATA.22.2635</t>
  </si>
  <si>
    <t>CATA.22.2674</t>
  </si>
  <si>
    <t>CATA.22.2677</t>
  </si>
  <si>
    <t>CATA.22.2433</t>
  </si>
  <si>
    <t>AE UNIT DECARBONIZATION</t>
  </si>
  <si>
    <t>EVGE.24.4165</t>
  </si>
  <si>
    <t>AE TURBOCHARGER OVERHAUL</t>
  </si>
  <si>
    <t>6,000</t>
  </si>
  <si>
    <t>776</t>
  </si>
  <si>
    <t>CASA.23.5258</t>
  </si>
  <si>
    <t>ME EXHAUST VALVE OVERHAUL</t>
  </si>
  <si>
    <t>24,000</t>
  </si>
  <si>
    <t>1699</t>
  </si>
  <si>
    <t>CATA.22.1423</t>
  </si>
  <si>
    <t>MOORING ROPES RENEWAL</t>
  </si>
  <si>
    <t>60M</t>
  </si>
  <si>
    <t>CATA.22.1025</t>
  </si>
  <si>
    <t>CATA.22.0705</t>
  </si>
  <si>
    <t>MORA10(10)</t>
  </si>
  <si>
    <t>Mooring Winch #10</t>
  </si>
  <si>
    <t>5YMUA0</t>
  </si>
  <si>
    <t>EVGE.25.2247</t>
  </si>
  <si>
    <t>AE COOLING WATER PUMP OVERHAUL</t>
  </si>
  <si>
    <t>5,000</t>
  </si>
  <si>
    <t>559</t>
  </si>
  <si>
    <t>BWLN.23.2145</t>
  </si>
  <si>
    <t>ME CYLINDER COVER ROUTINES</t>
  </si>
  <si>
    <t>BWLN</t>
  </si>
  <si>
    <t>ME8D.1(3)</t>
  </si>
  <si>
    <t>ME Cylinder Cover #3</t>
  </si>
  <si>
    <t>12,000</t>
  </si>
  <si>
    <t>BLBU.25.2398</t>
  </si>
  <si>
    <t>HULL INSPECTION</t>
  </si>
  <si>
    <t>BLBU</t>
  </si>
  <si>
    <t>HUL</t>
  </si>
  <si>
    <t>Hull Components</t>
  </si>
  <si>
    <t>507</t>
  </si>
  <si>
    <t>NOVA.25.2130</t>
  </si>
  <si>
    <t>FRAMO ENGINE 500 HRS ROUTINES</t>
  </si>
  <si>
    <t>NOVA</t>
  </si>
  <si>
    <t>CORA5.E(2)</t>
  </si>
  <si>
    <t>Prime Mover (Engine ) for Cargo Hydraulic Power pack (Framo) #2</t>
  </si>
  <si>
    <t>CATA.22.2600</t>
  </si>
  <si>
    <t>NOVA.26.0170</t>
  </si>
  <si>
    <t>AMENDMENT</t>
  </si>
  <si>
    <t>MSQA.25.6231</t>
  </si>
  <si>
    <t>No-3 Deck crane hydraulic filter clean for Cuppm</t>
  </si>
  <si>
    <t>AFLO.25.1906</t>
  </si>
  <si>
    <t>802</t>
  </si>
  <si>
    <t>EVGE.24.2168</t>
  </si>
  <si>
    <t>AE SUMP OIL RENEWAL</t>
  </si>
  <si>
    <t>EVGE.24.4166</t>
  </si>
  <si>
    <t>772</t>
  </si>
  <si>
    <t>AFLO.25.3044</t>
  </si>
  <si>
    <t>1993</t>
  </si>
  <si>
    <t>SENA.25.2285</t>
  </si>
  <si>
    <t>FW TANK INSPECTION</t>
  </si>
  <si>
    <t>FWA10(S)</t>
  </si>
  <si>
    <t>DW Tank (S)</t>
  </si>
  <si>
    <t>BLDG.26.2300</t>
  </si>
  <si>
    <t>SLOP TANK INSPECTION</t>
  </si>
  <si>
    <t>BLDG</t>
  </si>
  <si>
    <t>83</t>
  </si>
  <si>
    <t>BLDG.26.3090</t>
  </si>
  <si>
    <t>50</t>
  </si>
  <si>
    <t>STCR.24.7438</t>
  </si>
  <si>
    <t>GENERAL SERVICE BATTERY RENEWAL</t>
  </si>
  <si>
    <t>STCR</t>
  </si>
  <si>
    <t>BAT1.3</t>
  </si>
  <si>
    <t xml:space="preserve">General Service Battery </t>
  </si>
  <si>
    <t>36M</t>
  </si>
  <si>
    <t>RENEWAL</t>
  </si>
  <si>
    <t>CASA.23.5245</t>
  </si>
  <si>
    <t>1628</t>
  </si>
  <si>
    <t>BLDG.25.2422</t>
  </si>
  <si>
    <t>PORTABLE GAS DETECTOR (PERSONAL) SHORE CALIBRATION</t>
  </si>
  <si>
    <t>447</t>
  </si>
  <si>
    <t>BLDG.25.2423</t>
  </si>
  <si>
    <t>TANK SCOPE SHORE CALIBRATION</t>
  </si>
  <si>
    <t>BLDG.25.6617</t>
  </si>
  <si>
    <t>UTI GAUGE SHORE CALIBRATION</t>
  </si>
  <si>
    <t>MAAC.25.2425</t>
  </si>
  <si>
    <t>MAAC</t>
  </si>
  <si>
    <t>4,800</t>
  </si>
  <si>
    <t>690</t>
  </si>
  <si>
    <t>BLDG.25.9159</t>
  </si>
  <si>
    <t>SELF RETRACTABLE FALL ARRESTER DEVICE 1Y ROUTINES</t>
  </si>
  <si>
    <t>444</t>
  </si>
  <si>
    <t>BLPD.25.2809</t>
  </si>
  <si>
    <t>GYRO SHORE SERVICE</t>
  </si>
  <si>
    <t>BLPD</t>
  </si>
  <si>
    <t>NAV16</t>
  </si>
  <si>
    <t>Gyro Compass with Course Recorder</t>
  </si>
  <si>
    <t>2ND OFFICER</t>
  </si>
  <si>
    <t>440</t>
  </si>
  <si>
    <t>MAOL.26.0854</t>
  </si>
  <si>
    <t>TO DISCUSS MASTER STANDING INST. WITH BRIDGE TEAM</t>
  </si>
  <si>
    <t>MAOL</t>
  </si>
  <si>
    <t>NAV</t>
  </si>
  <si>
    <t>Navigation, Bridge and Radio Equipment</t>
  </si>
  <si>
    <t>2M</t>
  </si>
  <si>
    <t>133</t>
  </si>
  <si>
    <t>BLNX.26.4686</t>
  </si>
  <si>
    <t>BLNX</t>
  </si>
  <si>
    <t>17</t>
  </si>
  <si>
    <t>CASA.25.2682</t>
  </si>
  <si>
    <t>ALCOHOL BREATH ANALYZER SHORE CALIBRATION/RENEWAL</t>
  </si>
  <si>
    <t>MCI3</t>
  </si>
  <si>
    <t>Alcohol Breather Analyser</t>
  </si>
  <si>
    <t>438</t>
  </si>
  <si>
    <t>EVGE.25.0066</t>
  </si>
  <si>
    <t>ME FUEL OIL BOOSTER SUCTION VALVE OVERHAUL</t>
  </si>
  <si>
    <t>549</t>
  </si>
  <si>
    <t>SENA.23.4661</t>
  </si>
  <si>
    <t>ME8B(9)</t>
  </si>
  <si>
    <t>ME Pistons, Piston Rods, Stuffing Box #9</t>
  </si>
  <si>
    <t>SENA.25.3251</t>
  </si>
  <si>
    <t>FWA10(P)</t>
  </si>
  <si>
    <t>FW Tank (P)</t>
  </si>
  <si>
    <t>431</t>
  </si>
  <si>
    <t>EVGE.24.2269</t>
  </si>
  <si>
    <t>PURIFIER MAJOR OVERHAUL</t>
  </si>
  <si>
    <t>FOP1(3)</t>
  </si>
  <si>
    <t>FO Purifier #3</t>
  </si>
  <si>
    <t>10,000</t>
  </si>
  <si>
    <t>STCR.23.2043</t>
  </si>
  <si>
    <t>MAIN AIR COMPRESSOR 3000 HOURS ROUTINES</t>
  </si>
  <si>
    <t>3,000</t>
  </si>
  <si>
    <t>EVGE.25.2778</t>
  </si>
  <si>
    <t>VOID SPACE OR COFFERDAM INSPECTION</t>
  </si>
  <si>
    <t>427</t>
  </si>
  <si>
    <t>EVGE.25.5505</t>
  </si>
  <si>
    <t>AE ALARMS AND TRIPS TEST</t>
  </si>
  <si>
    <t>2,500</t>
  </si>
  <si>
    <t>315</t>
  </si>
  <si>
    <t>MAOL.26.1871</t>
  </si>
  <si>
    <t>ACCOMMODATION INSPECTION</t>
  </si>
  <si>
    <t>DECC</t>
  </si>
  <si>
    <t>Deck - Accommodation Area</t>
  </si>
  <si>
    <t>91</t>
  </si>
  <si>
    <t>MAOL.26.0346</t>
  </si>
  <si>
    <t>SEEMP EVALUATION ( MASTER )</t>
  </si>
  <si>
    <t>HDC2</t>
  </si>
  <si>
    <t>Vessel Miscellaneous (Deck)</t>
  </si>
  <si>
    <t>149</t>
  </si>
  <si>
    <t>SENA.24.3860</t>
  </si>
  <si>
    <t>ME4.1(6)</t>
  </si>
  <si>
    <t>ME Exhaust Valve #6</t>
  </si>
  <si>
    <t>773</t>
  </si>
  <si>
    <t>BEGA.25.3426</t>
  </si>
  <si>
    <t>LIFEBOAT YEARLY ROUTINES</t>
  </si>
  <si>
    <t>BEGA</t>
  </si>
  <si>
    <t>LSAB(2)</t>
  </si>
  <si>
    <t>Lifeboat #2</t>
  </si>
  <si>
    <t>417</t>
  </si>
  <si>
    <t>BEGA.25.3437</t>
  </si>
  <si>
    <t>RESCUE BOAT YEARLY ROUTINES</t>
  </si>
  <si>
    <t>LSAD</t>
  </si>
  <si>
    <t>Rescue Boat</t>
  </si>
  <si>
    <t>CATA.25.3062</t>
  </si>
  <si>
    <t>BALLAST WATER TANK INSPECTION</t>
  </si>
  <si>
    <t>EVGL.26.0893</t>
  </si>
  <si>
    <t>LO SAMPLES LANDING FOR SHORE ANALYSIS – 3 MONTHLY</t>
  </si>
  <si>
    <t>142</t>
  </si>
  <si>
    <t>EVGR.25.3150</t>
  </si>
  <si>
    <t>EVGR</t>
  </si>
  <si>
    <t>413</t>
  </si>
  <si>
    <t>FAFO.24.8921</t>
  </si>
  <si>
    <t>AE FUEL INJECTION PUMP OVERHAUL</t>
  </si>
  <si>
    <t>AE5.1[1](4)</t>
  </si>
  <si>
    <t>#1 AE Fuel Injection Pump #4</t>
  </si>
  <si>
    <t>687</t>
  </si>
  <si>
    <t>FAFO.24.8924</t>
  </si>
  <si>
    <t>AE5.1[1](3)</t>
  </si>
  <si>
    <t>#1 AE Fuel Injection Pump #3</t>
  </si>
  <si>
    <t>FAFO.24.8926</t>
  </si>
  <si>
    <t>AE5.1[1](2)</t>
  </si>
  <si>
    <t>#1 AE Fuel Injection Pump #2</t>
  </si>
  <si>
    <t>FAFO.24.8928</t>
  </si>
  <si>
    <t>AE5.1[1](6)</t>
  </si>
  <si>
    <t>#1 AE Fuel Injection Pump #6</t>
  </si>
  <si>
    <t>FAFO.24.8933</t>
  </si>
  <si>
    <t>AE5.1[1](5)</t>
  </si>
  <si>
    <t>#1 AE Fuel Injection Pump #5</t>
  </si>
  <si>
    <t>EVGL.25.8287</t>
  </si>
  <si>
    <t>LO SAMPLES LANDING FOR SHORE ANALYSIS – 6 MONTHLY</t>
  </si>
  <si>
    <t>222</t>
  </si>
  <si>
    <t>STGS.24.5568</t>
  </si>
  <si>
    <t>AE CYLINDER HEAD OVERHAUL</t>
  </si>
  <si>
    <t>STGS</t>
  </si>
  <si>
    <t>AE8D.1[2](5)</t>
  </si>
  <si>
    <t>#2 AE Cylinder Head #5</t>
  </si>
  <si>
    <t>741</t>
  </si>
  <si>
    <t>STGS.24.5569</t>
  </si>
  <si>
    <t>AE8D.1[2](1)</t>
  </si>
  <si>
    <t>#2 AE Cylinder Head #1</t>
  </si>
  <si>
    <t>STGS.24.5570</t>
  </si>
  <si>
    <t>AE8D.1[2](3)</t>
  </si>
  <si>
    <t>#2 AE Cylinder Head #3</t>
  </si>
  <si>
    <t>STGS.24.5571</t>
  </si>
  <si>
    <t>AE8D.1[2](4)</t>
  </si>
  <si>
    <t>#2 AE Cylinder Head #4</t>
  </si>
  <si>
    <t>STGS.24.5572</t>
  </si>
  <si>
    <t>AE8D.1[2](2)</t>
  </si>
  <si>
    <t>#2 AE Cylinder Head #2</t>
  </si>
  <si>
    <t>STGS.24.5573</t>
  </si>
  <si>
    <t>AE8D.1[2](6)</t>
  </si>
  <si>
    <t>#2 AE Cylinder Head #6</t>
  </si>
  <si>
    <t>MAAC.26.2964</t>
  </si>
  <si>
    <t>BA COMPRESSOR WEEKLY ROUTINES</t>
  </si>
  <si>
    <t>1W</t>
  </si>
  <si>
    <t>47</t>
  </si>
  <si>
    <t>SENA.26.3916</t>
  </si>
  <si>
    <t>ME MONTHLY PERFORMANCE CHECK</t>
  </si>
  <si>
    <t>ME</t>
  </si>
  <si>
    <t>Main Engine</t>
  </si>
  <si>
    <t>TMDS-0001</t>
  </si>
  <si>
    <t>200</t>
  </si>
  <si>
    <t>YOSH.25.2187</t>
  </si>
  <si>
    <t>YOSH</t>
  </si>
  <si>
    <t>ME LO Purifier #1</t>
  </si>
  <si>
    <t>SENA.23.4834</t>
  </si>
  <si>
    <t>ME8B(10)</t>
  </si>
  <si>
    <t>ME Pistons, Piston Rods, Stuffing Box #10</t>
  </si>
  <si>
    <t>STIG.25.6402</t>
  </si>
  <si>
    <t>STIG</t>
  </si>
  <si>
    <t>BALA1(5P)</t>
  </si>
  <si>
    <t>Ballast Tank #5 (Port)</t>
  </si>
  <si>
    <t>402</t>
  </si>
  <si>
    <t>STIG.25.6403</t>
  </si>
  <si>
    <t>BALA1(5S)</t>
  </si>
  <si>
    <t>Ballast Tank #5 (Stbd)</t>
  </si>
  <si>
    <t>MAAC.24.8026</t>
  </si>
  <si>
    <t>674</t>
  </si>
  <si>
    <t>MAAC.24.8027</t>
  </si>
  <si>
    <t>MAMA.26.1987</t>
  </si>
  <si>
    <t>MAMA</t>
  </si>
  <si>
    <t>89</t>
  </si>
  <si>
    <t>AFLO.25.7486</t>
  </si>
  <si>
    <t>PURIFIER TOP OVERHAUL</t>
  </si>
  <si>
    <t>4,000</t>
  </si>
  <si>
    <t>CASA.25.3807</t>
  </si>
  <si>
    <t>BALA1(2S)</t>
  </si>
  <si>
    <t>L.S. &amp; D.W. Ballast Tank #2 (Stbd)</t>
  </si>
  <si>
    <t>400</t>
  </si>
  <si>
    <t>CASA.25.3808</t>
  </si>
  <si>
    <t>BALA1(2P)</t>
  </si>
  <si>
    <t>L.S. &amp; D.W. Ballast Tank #2 (Port)</t>
  </si>
  <si>
    <t>FAFO.24.9408</t>
  </si>
  <si>
    <t>ME FUEL VALVE OVERHAUL OR RENEWAL</t>
  </si>
  <si>
    <t>594</t>
  </si>
  <si>
    <t>FAFO.24.9410</t>
  </si>
  <si>
    <t>FAFO.26.2865</t>
  </si>
  <si>
    <t>ME SCAVENGE PORT INSPECTION</t>
  </si>
  <si>
    <t>64</t>
  </si>
  <si>
    <t>MAOL.24.0267</t>
  </si>
  <si>
    <t>SHIPSIDE DRAFT AND MARKING ROUTINES</t>
  </si>
  <si>
    <t>HUL2</t>
  </si>
  <si>
    <t>Freeboard, Draft &amp; Loadline Marking</t>
  </si>
  <si>
    <t>30M</t>
  </si>
  <si>
    <t>MAOL.24.0474</t>
  </si>
  <si>
    <t>OWS RELIEF VALVE PRESSURE TEST</t>
  </si>
  <si>
    <t>BILA7</t>
  </si>
  <si>
    <t>Bilge Oil Separator (OWS)</t>
  </si>
  <si>
    <t>MAOL.24.0852</t>
  </si>
  <si>
    <t>BOILER FD FAN OVERHAUL</t>
  </si>
  <si>
    <t>BLR2.1</t>
  </si>
  <si>
    <t>Boiler FD Fan</t>
  </si>
  <si>
    <t>MAOL.24.1067</t>
  </si>
  <si>
    <t>EMERGENCY FIRE PUMP OVERHAUL</t>
  </si>
  <si>
    <t>FFAC17</t>
  </si>
  <si>
    <t>Emergency Fire Pump</t>
  </si>
  <si>
    <t>MAOL.24.1177</t>
  </si>
  <si>
    <t>PILOT LADDER RENEWAL</t>
  </si>
  <si>
    <t>DECA3.4(1)</t>
  </si>
  <si>
    <t>Pilot Ladder (Port)</t>
  </si>
  <si>
    <t>MAOL.24.1180</t>
  </si>
  <si>
    <t>DECA3.4(2)</t>
  </si>
  <si>
    <t>Pilot Ladder (Stbd)</t>
  </si>
  <si>
    <t>ELPA.26.1766</t>
  </si>
  <si>
    <t>ELPA</t>
  </si>
  <si>
    <t>399</t>
  </si>
  <si>
    <t>CASA.25.4795</t>
  </si>
  <si>
    <t>398</t>
  </si>
  <si>
    <t>CASA.25.4796</t>
  </si>
  <si>
    <t>YOSH.25.0419</t>
  </si>
  <si>
    <t>SENA.26.2391</t>
  </si>
  <si>
    <t>ME CRANKSHAFT DEFLECTION MEASUREMENT</t>
  </si>
  <si>
    <t>ME8C.1</t>
  </si>
  <si>
    <t>ME Crankshaft with Balance Weight</t>
  </si>
  <si>
    <t>TMDS-0006</t>
  </si>
  <si>
    <t>214</t>
  </si>
  <si>
    <t>BOCL.26.6312</t>
  </si>
  <si>
    <t>ME TURBOCHARGER 100H ROUTINES(ACCELLERON-A255-L34)</t>
  </si>
  <si>
    <t>BOCL</t>
  </si>
  <si>
    <t>601.053.001</t>
  </si>
  <si>
    <t>ME Turbocharger</t>
  </si>
  <si>
    <t>100</t>
  </si>
  <si>
    <t>8</t>
  </si>
  <si>
    <t>Vessel Code</t>
  </si>
  <si>
    <t>Last Reported Value</t>
  </si>
  <si>
    <t>Due Date of Counter Reading</t>
  </si>
  <si>
    <t>Last Reported Date</t>
  </si>
  <si>
    <t>Daily Avg (hrs)</t>
  </si>
  <si>
    <t>801.002.002</t>
  </si>
  <si>
    <t>Ballast Water Treatment System #2</t>
  </si>
  <si>
    <t>BELE</t>
  </si>
  <si>
    <t>NAV18</t>
  </si>
  <si>
    <t>Marine Radar Equipment (X-Band)</t>
  </si>
  <si>
    <t>NAV17</t>
  </si>
  <si>
    <t>Marine Radar Equipment (S-Band)</t>
  </si>
  <si>
    <t>FAEN</t>
  </si>
  <si>
    <t>CORA5.E(4)</t>
  </si>
  <si>
    <t>Prime Mover (Engine ) for Cargo Hydraulic Power pack (Framo) #4</t>
  </si>
  <si>
    <t>REF1(1)</t>
  </si>
  <si>
    <t>Refrigeration Compressor #1</t>
  </si>
  <si>
    <t>ME14(1)</t>
  </si>
  <si>
    <t>ME Auxiliary Blower #1</t>
  </si>
  <si>
    <t>CORA5.E(3)</t>
  </si>
  <si>
    <t>Prime Mover (Engine ) for Cargo Hydraulic Power pack (Framo) #3</t>
  </si>
  <si>
    <t>ME14(2)</t>
  </si>
  <si>
    <t>ME Auxiliary Blower #2</t>
  </si>
  <si>
    <t>REF1(2)</t>
  </si>
  <si>
    <t>Refrigeration Compressor #2</t>
  </si>
  <si>
    <t>IGGN5(1)</t>
  </si>
  <si>
    <t>N2 Air Compressor #1</t>
  </si>
  <si>
    <t>IGGN5(2)</t>
  </si>
  <si>
    <t>N2 Air Compressor #2</t>
  </si>
  <si>
    <t>IGGN4(1)</t>
  </si>
  <si>
    <t>N2 Generator #1</t>
  </si>
  <si>
    <t>IGGN4(2)</t>
  </si>
  <si>
    <t>N2 Generator #2</t>
  </si>
  <si>
    <t>AE[3]</t>
  </si>
  <si>
    <t>Diesel Generator #3</t>
  </si>
  <si>
    <t>FOSA8</t>
  </si>
  <si>
    <t>ME FO Heater</t>
  </si>
  <si>
    <t>FOP1(2)</t>
  </si>
  <si>
    <t>FO Purifier #2</t>
  </si>
  <si>
    <t>FOP1(1)</t>
  </si>
  <si>
    <t>FO Purifier #1</t>
  </si>
  <si>
    <t>LOP1(2)</t>
  </si>
  <si>
    <t>AE LO Purifier</t>
  </si>
  <si>
    <t>AE[4]</t>
  </si>
  <si>
    <t>Diesel Generator #4</t>
  </si>
  <si>
    <t>LOP1(3)</t>
  </si>
  <si>
    <t>ME LO Purifier #2</t>
  </si>
  <si>
    <t>AE[1]</t>
  </si>
  <si>
    <t>Diesel Generator #1</t>
  </si>
  <si>
    <t>AE[2]</t>
  </si>
  <si>
    <t>Diesel Generator #2</t>
  </si>
  <si>
    <t>AIRM1(1)</t>
  </si>
  <si>
    <t>Main Air Compressor #1</t>
  </si>
  <si>
    <t>AIRM1(4)</t>
  </si>
  <si>
    <t>Main Air Compressor #4</t>
  </si>
  <si>
    <t>ME14(3)</t>
  </si>
  <si>
    <t>ME Auxiliary Blower #3</t>
  </si>
  <si>
    <t>AIRM1(3)</t>
  </si>
  <si>
    <t>Main Air Compressor #3</t>
  </si>
  <si>
    <t>TSGA</t>
  </si>
  <si>
    <t>AIRM1(2)</t>
  </si>
  <si>
    <t>Main Air Compressor #2</t>
  </si>
  <si>
    <t>MYLS</t>
  </si>
  <si>
    <t>CORA32(3)</t>
  </si>
  <si>
    <t>Cargo Crane #3</t>
  </si>
  <si>
    <t>CORA32(1)</t>
  </si>
  <si>
    <t>Cargo Crane #1</t>
  </si>
  <si>
    <t>CORA32(2)</t>
  </si>
  <si>
    <t>Cargo Crane #2</t>
  </si>
  <si>
    <t>ELBO</t>
  </si>
  <si>
    <t>AE3B.3[1]</t>
  </si>
  <si>
    <t>#1 AE Selective Catalytic Reduction</t>
  </si>
  <si>
    <t>AE3B.3[2]</t>
  </si>
  <si>
    <t>#2 AE Selective Catalytic Reduction</t>
  </si>
  <si>
    <t>AE3B.3</t>
  </si>
  <si>
    <t>#3 AE Selective Catalytic Reduction</t>
  </si>
  <si>
    <t>AE3B.3[4]</t>
  </si>
  <si>
    <t>#4 AE Selective Catalytic Reduction</t>
  </si>
  <si>
    <t>AE3B.3[5]</t>
  </si>
  <si>
    <t>#5 AE Selective Catalytic Reduction</t>
  </si>
  <si>
    <t>601.054.001</t>
  </si>
  <si>
    <t>ME Aux. Air Blower</t>
  </si>
  <si>
    <t>NAV27(1)</t>
  </si>
  <si>
    <t>ECDIS #1</t>
  </si>
  <si>
    <t>NAV37</t>
  </si>
  <si>
    <t>Voyage Data Recorder (VDR)</t>
  </si>
  <si>
    <t>NAV27(2)</t>
  </si>
  <si>
    <t>ECDIS #2</t>
  </si>
  <si>
    <t>FTRI</t>
  </si>
  <si>
    <t>LSAC6</t>
  </si>
  <si>
    <t>BA Compressor</t>
  </si>
  <si>
    <t>FWA15</t>
  </si>
  <si>
    <t>FW Sterilizer</t>
  </si>
  <si>
    <t>PMAL</t>
  </si>
  <si>
    <t>453.010.001</t>
  </si>
  <si>
    <t>0.2T Injured Person Sludge Handling Davit</t>
  </si>
  <si>
    <t>378.014.001</t>
  </si>
  <si>
    <t>N2 Generator Feed Air Compressor #1</t>
  </si>
  <si>
    <t>378.014.002</t>
  </si>
  <si>
    <t>N2 Generator Feed Air Compressor #2</t>
  </si>
  <si>
    <t>378.014.003</t>
  </si>
  <si>
    <t>N2 Generator Feed Air Compressor #3</t>
  </si>
  <si>
    <t>378.014.004</t>
  </si>
  <si>
    <t>N2 Generator Feed Air Compressor #4</t>
  </si>
  <si>
    <t>351.033.001</t>
  </si>
  <si>
    <t>Hydraulic Oil Transfer Unit</t>
  </si>
  <si>
    <t>730.006.001</t>
  </si>
  <si>
    <t>ME Selective Catalytic Reduction System</t>
  </si>
  <si>
    <t>733.003.001</t>
  </si>
  <si>
    <t>Working Air Compressor</t>
  </si>
  <si>
    <t>734.014.001</t>
  </si>
  <si>
    <t>Control Air Dryer</t>
  </si>
  <si>
    <t>734.015.001</t>
  </si>
  <si>
    <t>SCR Control Air Dryer</t>
  </si>
  <si>
    <t>801.002.001</t>
  </si>
  <si>
    <t>Ballast Water Treatment System #1</t>
  </si>
  <si>
    <t>NAV18(1)</t>
  </si>
  <si>
    <t>Marine Radar Equipment (X-Band) #1</t>
  </si>
  <si>
    <t>NAV18(2)</t>
  </si>
  <si>
    <t>Marine Radar Equipment (X-Band) #2</t>
  </si>
  <si>
    <t>NAV18(2).1</t>
  </si>
  <si>
    <t>Marine Radar Magnetron (X-Band) #2</t>
  </si>
  <si>
    <t>730.007.001</t>
  </si>
  <si>
    <t>730.007.002</t>
  </si>
  <si>
    <t>730.007.003</t>
  </si>
  <si>
    <t>CORE</t>
  </si>
  <si>
    <t>Cargo Instrumentation and Controls</t>
  </si>
  <si>
    <t>AIRM10</t>
  </si>
  <si>
    <t>Service Air Compressor</t>
  </si>
  <si>
    <t>SOLE</t>
  </si>
  <si>
    <t>SGE</t>
  </si>
  <si>
    <t>Shaft Generator</t>
  </si>
  <si>
    <t>MORA19</t>
  </si>
  <si>
    <t>Mooring Tails</t>
  </si>
  <si>
    <t>NAV17(2)</t>
  </si>
  <si>
    <t>Marine Radar Magnetron (S-Band)</t>
  </si>
  <si>
    <t>EGS1</t>
  </si>
  <si>
    <t>Exhaust Gas Cleaning Scrubber</t>
  </si>
  <si>
    <t>FHON</t>
  </si>
  <si>
    <t>LOSA1(2)</t>
  </si>
  <si>
    <t>ME LO Pump #2</t>
  </si>
  <si>
    <t>SW2(2)</t>
  </si>
  <si>
    <t>Main SW Pump #2</t>
  </si>
  <si>
    <t>SW2(1)</t>
  </si>
  <si>
    <t>Main SW Pump #1</t>
  </si>
  <si>
    <t>FWB2(1)</t>
  </si>
  <si>
    <t>ME FW Pump #1</t>
  </si>
  <si>
    <t>FWA20(2)</t>
  </si>
  <si>
    <t>LT / Central Fresh Water Pump #2</t>
  </si>
  <si>
    <t>FWD2(2)</t>
  </si>
  <si>
    <t>Boiler Water Main Feed Pump #2</t>
  </si>
  <si>
    <t>SW2(3)</t>
  </si>
  <si>
    <t>Main SW Pump #3</t>
  </si>
  <si>
    <t>FWD2(1)</t>
  </si>
  <si>
    <t>Boiler Water Main Feed Pump #1</t>
  </si>
  <si>
    <t>FWB2(2)</t>
  </si>
  <si>
    <t>ME FW Pump #2</t>
  </si>
  <si>
    <t>FWA20(1)</t>
  </si>
  <si>
    <t>LT / Central Fresh Water Pump #1</t>
  </si>
  <si>
    <t>LOSA1(1)</t>
  </si>
  <si>
    <t>ME LO Pump #1</t>
  </si>
  <si>
    <t>FWD8(1)</t>
  </si>
  <si>
    <t>Boiler Water Circ Pump #1</t>
  </si>
  <si>
    <t>FWD8(2)</t>
  </si>
  <si>
    <t>Boiler Water Circ Pump #2</t>
  </si>
  <si>
    <t>FWA20(3)</t>
  </si>
  <si>
    <t>LT / Central Fresh Water Pump #3</t>
  </si>
  <si>
    <t>MORA19(1)</t>
  </si>
  <si>
    <t>Mooring Tails (Fwd Drum) #1</t>
  </si>
  <si>
    <t>MORA19(2)</t>
  </si>
  <si>
    <t>Mooring Tails (Fwd Drum) #2</t>
  </si>
  <si>
    <t>MORA19(3)</t>
  </si>
  <si>
    <t>Mooring Tails (Fwd Drum) #3</t>
  </si>
  <si>
    <t>MORA19(4)</t>
  </si>
  <si>
    <t>Mooring Tails (Fwd Drum) #4</t>
  </si>
  <si>
    <t>MORA19(5)</t>
  </si>
  <si>
    <t>Mooring Tails (Fwd Drum) #5</t>
  </si>
  <si>
    <t>MORA19(6)</t>
  </si>
  <si>
    <t>Mooring Tails (Fwd Drum) #6</t>
  </si>
  <si>
    <t>MORA19(7)</t>
  </si>
  <si>
    <t>Mooring Tails (AFT Drum) #7</t>
  </si>
  <si>
    <t>MORA19(8)</t>
  </si>
  <si>
    <t>Mooring Tails (AFT Drum) #8</t>
  </si>
  <si>
    <t>MORA19(9)</t>
  </si>
  <si>
    <t>Mooring Tails (AFT Drum) #9</t>
  </si>
  <si>
    <t>MORA19(10)</t>
  </si>
  <si>
    <t>Mooring Tails (AFT Drum) #10</t>
  </si>
  <si>
    <t>MORA19(11)</t>
  </si>
  <si>
    <t>Mooring Tails (AFT Drum) #11</t>
  </si>
  <si>
    <t>MORA19(12)</t>
  </si>
  <si>
    <t>Mooring Tails (AFT Drum) #12</t>
  </si>
  <si>
    <t>FWA74</t>
  </si>
  <si>
    <t>RO Plant</t>
  </si>
  <si>
    <t>703.003.002</t>
  </si>
  <si>
    <t>Aux Boiler Main FO Pump #1</t>
  </si>
  <si>
    <t>703.003.003</t>
  </si>
  <si>
    <t>Aux Boiler Main FO Pump #2</t>
  </si>
  <si>
    <t>RKGY</t>
  </si>
  <si>
    <t>412.020.001</t>
  </si>
  <si>
    <t>GPS Navigator</t>
  </si>
  <si>
    <t>414.020.001</t>
  </si>
  <si>
    <t>Echo Sounder</t>
  </si>
  <si>
    <t>415.001.001</t>
  </si>
  <si>
    <t>415.001.002</t>
  </si>
  <si>
    <t>417.033.001</t>
  </si>
  <si>
    <t>Navtex Receiver</t>
  </si>
  <si>
    <t>433.001.001</t>
  </si>
  <si>
    <t>Windlass (Port)</t>
  </si>
  <si>
    <t>433.001.002</t>
  </si>
  <si>
    <t>Windlass (Stbd)</t>
  </si>
  <si>
    <t>434.001.001</t>
  </si>
  <si>
    <t>Hydraulic Mooring Winch #1</t>
  </si>
  <si>
    <t>434.001.002</t>
  </si>
  <si>
    <t>Hydraulic Mooring Winch #2</t>
  </si>
  <si>
    <t>434.001.003</t>
  </si>
  <si>
    <t>Hydraulic Mooring Winch #3</t>
  </si>
  <si>
    <t>Description</t>
  </si>
  <si>
    <t>Description 2</t>
  </si>
  <si>
    <t>ROB</t>
  </si>
  <si>
    <t>Maker Ref.</t>
  </si>
  <si>
    <t>Item Category Code</t>
  </si>
  <si>
    <t>Part No.</t>
  </si>
  <si>
    <t>Drawing No.</t>
  </si>
  <si>
    <t>Minimum Level</t>
  </si>
  <si>
    <t>Position No.</t>
  </si>
  <si>
    <t>Spare Maker</t>
  </si>
  <si>
    <t>Spare Maker Name</t>
  </si>
  <si>
    <t>Model</t>
  </si>
  <si>
    <t>Model Name</t>
  </si>
  <si>
    <t>No of PO\PR</t>
  </si>
  <si>
    <t>Unit Cost</t>
  </si>
  <si>
    <t>Default Location Code</t>
  </si>
  <si>
    <t>Default Location Name</t>
  </si>
  <si>
    <t>Critical</t>
  </si>
  <si>
    <t>9014607</t>
  </si>
  <si>
    <t>Bulb For Aldis Lamp (Hakuyo Denkyu E-12 30V 2W)</t>
  </si>
  <si>
    <t>MYMT</t>
  </si>
  <si>
    <t>MAERSK YOSEMITE</t>
  </si>
  <si>
    <t>SPARES</t>
  </si>
  <si>
    <t>S</t>
  </si>
  <si>
    <t>VS-0027</t>
  </si>
  <si>
    <t>956195</t>
  </si>
  <si>
    <t>Cartridge L.O. Filter</t>
  </si>
  <si>
    <t>APL Florida</t>
  </si>
  <si>
    <t>3318853</t>
  </si>
  <si>
    <t>LF 1181</t>
  </si>
  <si>
    <t>VS-0010</t>
  </si>
  <si>
    <t>9014565</t>
  </si>
  <si>
    <t>Detector Head (Flame) for Fixed Water Based Fire Fighting System</t>
  </si>
  <si>
    <t xml:space="preserve">YZJ2020-1325
</t>
  </si>
  <si>
    <t>MAERSK MAMMOTH</t>
  </si>
  <si>
    <t>851PH</t>
  </si>
  <si>
    <t>MKR002883</t>
  </si>
  <si>
    <t>SEAPLUS CO. LTD.</t>
  </si>
  <si>
    <t>VS-0023</t>
  </si>
  <si>
    <t>9014566</t>
  </si>
  <si>
    <t>Detector Head (Smoke) for Fixed Water Based Fire Fighting System</t>
  </si>
  <si>
    <t>811F-M</t>
  </si>
  <si>
    <t>9014593</t>
  </si>
  <si>
    <t>Detector Head (Smoke)</t>
  </si>
  <si>
    <t>SG-45883</t>
  </si>
  <si>
    <t>40020</t>
  </si>
  <si>
    <t>MKR010657</t>
  </si>
  <si>
    <t>CONSILIUM SALWICO</t>
  </si>
  <si>
    <t>9014594</t>
  </si>
  <si>
    <t>Detector Head (Heat)</t>
  </si>
  <si>
    <t>40000</t>
  </si>
  <si>
    <t>800005216</t>
  </si>
  <si>
    <t>BWFR</t>
  </si>
  <si>
    <t>BOW FRATERNITY</t>
  </si>
  <si>
    <t>3308-0KB</t>
  </si>
  <si>
    <t>RA1711-4059-4</t>
  </si>
  <si>
    <t>MKR002278</t>
  </si>
  <si>
    <t>NIPPON HAKUYO ELECTRONICS LTD.</t>
  </si>
  <si>
    <t>VS-0080</t>
  </si>
  <si>
    <t>198192</t>
  </si>
  <si>
    <t>Counter Sunk Screw M10x60</t>
  </si>
  <si>
    <t>OOCL Durban (Seroja Enam )</t>
  </si>
  <si>
    <t>P-CU0</t>
  </si>
  <si>
    <t>30190009</t>
  </si>
  <si>
    <t>2N898150.3</t>
  </si>
  <si>
    <t>209</t>
  </si>
  <si>
    <t>MKR002288</t>
  </si>
  <si>
    <t>NIPPON PUSNES CO. LTD.</t>
  </si>
  <si>
    <t>VS-0129</t>
  </si>
  <si>
    <t>198193</t>
  </si>
  <si>
    <t>Counter Sunk Screw M10x45</t>
  </si>
  <si>
    <t>30190006</t>
  </si>
  <si>
    <t>210</t>
  </si>
  <si>
    <t>198194</t>
  </si>
  <si>
    <t>Counter Sunk Screw M10x25</t>
  </si>
  <si>
    <t>30190002</t>
  </si>
  <si>
    <t>211</t>
  </si>
  <si>
    <t>1993383</t>
  </si>
  <si>
    <t>Fuel Oil Filter</t>
  </si>
  <si>
    <t>ACAL</t>
  </si>
  <si>
    <t>APL California</t>
  </si>
  <si>
    <t>401174423</t>
  </si>
  <si>
    <t>LIST NO. G913-6130</t>
  </si>
  <si>
    <t>MKR002015</t>
  </si>
  <si>
    <t>MITSUI ZOSEN MACHINERY &amp; SERVICE INC.</t>
  </si>
  <si>
    <t>VS-0008</t>
  </si>
  <si>
    <t>2001510</t>
  </si>
  <si>
    <t>Timing Belt</t>
  </si>
  <si>
    <t>401180447</t>
  </si>
  <si>
    <t>2400105</t>
  </si>
  <si>
    <t>Clutch (Vacc. Pump of Emg. Fire Pump)</t>
  </si>
  <si>
    <t>VK-20NB</t>
  </si>
  <si>
    <t>650</t>
  </si>
  <si>
    <t>A0DS0029</t>
  </si>
  <si>
    <t>MKR002136</t>
  </si>
  <si>
    <t>NANIWA PUMP MFG. CO. LTD.</t>
  </si>
  <si>
    <t>9000999</t>
  </si>
  <si>
    <t>Closing Coil</t>
  </si>
  <si>
    <t>MEMD</t>
  </si>
  <si>
    <t>Maersk Emerald</t>
  </si>
  <si>
    <t>MKR001256</t>
  </si>
  <si>
    <t>HYUNDAI HEAVY INDUSTRIES CO. LTD.</t>
  </si>
  <si>
    <t>VS-0086</t>
  </si>
  <si>
    <t>4535179</t>
  </si>
  <si>
    <t>Coalesecer Filter</t>
  </si>
  <si>
    <t>Ever Greet</t>
  </si>
  <si>
    <t>VS-0005</t>
  </si>
  <si>
    <t>4535203</t>
  </si>
  <si>
    <t>L.O. Filter</t>
  </si>
  <si>
    <t>5</t>
  </si>
  <si>
    <t>MKR000988</t>
  </si>
  <si>
    <t>GPC CO. LTD.</t>
  </si>
  <si>
    <t>4535214</t>
  </si>
  <si>
    <t>Repair Kit For M/E Fuel Shut Off Valve</t>
  </si>
  <si>
    <t>ESA-005-25 ~ 125</t>
  </si>
  <si>
    <t>ESA-005-25 ~ 125-A401</t>
  </si>
  <si>
    <t>MKR002246</t>
  </si>
  <si>
    <t>NIIKURA KOGYO CO. LTD.</t>
  </si>
  <si>
    <t>9014545</t>
  </si>
  <si>
    <t>Maersk Acadia</t>
  </si>
  <si>
    <t>AV13X1050</t>
  </si>
  <si>
    <t>7</t>
  </si>
  <si>
    <t>MKR004098</t>
  </si>
  <si>
    <t>ZHENJIANG SIYANG DIESEL ENG. MFG. CO. LTD.</t>
  </si>
  <si>
    <t>MDL0002365</t>
  </si>
  <si>
    <t>380J-3</t>
  </si>
  <si>
    <t>VS-0021</t>
  </si>
  <si>
    <t>Shut Down Solenoid</t>
  </si>
  <si>
    <t>MAERSK GLACIER</t>
  </si>
  <si>
    <t>6G70ME-C 10.5-HPSCR</t>
  </si>
  <si>
    <t>MKR000394</t>
  </si>
  <si>
    <t>CMD MAN B&amp;W</t>
  </si>
  <si>
    <t>VS-0017</t>
  </si>
  <si>
    <t>9014568</t>
  </si>
  <si>
    <t>Float Switch Complete</t>
  </si>
  <si>
    <t>UQK-652-C</t>
  </si>
  <si>
    <t>1) LO-480, 2) LO-530, 3) LO-715, 4) LO-1080, 5) LO-520</t>
  </si>
  <si>
    <t>MKR001457</t>
  </si>
  <si>
    <t>JIANGSU YUANWANG INSTRUMENT GROUP CO. LTD.</t>
  </si>
  <si>
    <t>9000093</t>
  </si>
  <si>
    <t>Cartridge Oil Filter</t>
  </si>
  <si>
    <t>MAERSK OLYMPIC</t>
  </si>
  <si>
    <t>GPC GIMHAE KOREA</t>
  </si>
  <si>
    <t>400508-00111</t>
  </si>
  <si>
    <t>DS704A1-3400A</t>
  </si>
  <si>
    <t>MKR000697</t>
  </si>
  <si>
    <t>DOOSAN INFRACORE CO. LTD.</t>
  </si>
  <si>
    <t>MDL0012749</t>
  </si>
  <si>
    <t>4AD126TI</t>
  </si>
  <si>
    <t>VS-0024</t>
  </si>
  <si>
    <t>9000094</t>
  </si>
  <si>
    <t>Cartridge Fuel Filter</t>
  </si>
  <si>
    <t>65.12503-5025A</t>
  </si>
  <si>
    <t>9008513</t>
  </si>
  <si>
    <t>Fuel Booster - Inductive Sensor</t>
  </si>
  <si>
    <t>MRWD</t>
  </si>
  <si>
    <t>MAERSK REDWOOD</t>
  </si>
  <si>
    <t>611AC46</t>
  </si>
  <si>
    <t>M-2</t>
  </si>
  <si>
    <t>MDL0025457</t>
  </si>
  <si>
    <t>6G70ME-C10.5-HPSCR</t>
  </si>
  <si>
    <t>VS-0025</t>
  </si>
  <si>
    <t>Filters (Return Line)</t>
  </si>
  <si>
    <t>MAERSK SEQUOIA</t>
  </si>
  <si>
    <t>3V-FH2B-MK J.P/TYPE: UL-08A-20U-IV</t>
  </si>
  <si>
    <t>MKR004028</t>
  </si>
  <si>
    <t>YOOWON INDUSTRIES CO. LTD.</t>
  </si>
  <si>
    <t>VS-0026</t>
  </si>
  <si>
    <t>9007909</t>
  </si>
  <si>
    <t>O-Ring Kit For Pneumatic/Hydraulic Piston</t>
  </si>
  <si>
    <t>GB3452.1£ -92</t>
  </si>
  <si>
    <t>A-08-00</t>
  </si>
  <si>
    <t>QCV-A-16XXX</t>
  </si>
  <si>
    <t>14</t>
  </si>
  <si>
    <t>MKR002147</t>
  </si>
  <si>
    <t>NANTONG HAISHI SHIPPING MACHINE CO. LTD.</t>
  </si>
  <si>
    <t>9007910</t>
  </si>
  <si>
    <t>GB3452.1 -92</t>
  </si>
  <si>
    <t>B-07-00</t>
  </si>
  <si>
    <t>QCV-B-16XXX</t>
  </si>
  <si>
    <t>9008280</t>
  </si>
  <si>
    <t>PAGE NO. 287</t>
  </si>
  <si>
    <t>4</t>
  </si>
  <si>
    <t>9008281</t>
  </si>
  <si>
    <t>433508-00111</t>
  </si>
  <si>
    <t>MDL0026559</t>
  </si>
  <si>
    <t>4AD126TIS</t>
  </si>
  <si>
    <t>9014582</t>
  </si>
  <si>
    <t>9014584</t>
  </si>
  <si>
    <t>HCU Fo Pressure Booster Complete</t>
  </si>
  <si>
    <t>611AC</t>
  </si>
  <si>
    <t>9014588</t>
  </si>
  <si>
    <t>Solenoid Valve</t>
  </si>
  <si>
    <t>YDFT-300-2/TYPE-OC-G01-P1-20</t>
  </si>
  <si>
    <t>YS-ADT1325-TASC1-0</t>
  </si>
  <si>
    <t>9014589</t>
  </si>
  <si>
    <t>Pump-Motor Coupling/Chain Coupling/Spider Coupling.</t>
  </si>
  <si>
    <t>YDFT-300-2</t>
  </si>
  <si>
    <t>9014603</t>
  </si>
  <si>
    <t>1.LO-480, 2.LO-530, 3.LO-715, 4.LO-1080,5.LO-520</t>
  </si>
  <si>
    <t>9014609</t>
  </si>
  <si>
    <t>Piston Assembly Complete</t>
  </si>
  <si>
    <t xml:space="preserve"> MK 7</t>
  </si>
  <si>
    <t>53836-K272</t>
  </si>
  <si>
    <t>MKR000995</t>
  </si>
  <si>
    <t>GRAVINER LTD.</t>
  </si>
  <si>
    <t>9015956</t>
  </si>
  <si>
    <t>Gaskets</t>
  </si>
  <si>
    <t>ELAL</t>
  </si>
  <si>
    <t>MAERSK EL ALTO</t>
  </si>
  <si>
    <t>H-274</t>
  </si>
  <si>
    <t>72A,73,74,75,89</t>
  </si>
  <si>
    <t>S4-8422</t>
  </si>
  <si>
    <t>MKR003409</t>
  </si>
  <si>
    <t>TANABE PNEUMATIC MACH. CO. LTD.</t>
  </si>
  <si>
    <t>VS-0366</t>
  </si>
  <si>
    <t>800005180</t>
  </si>
  <si>
    <t>Detector Head</t>
  </si>
  <si>
    <t>MD-SX</t>
  </si>
  <si>
    <t>NN00465K001</t>
  </si>
  <si>
    <t>NN00465</t>
  </si>
  <si>
    <t>MKR000520</t>
  </si>
  <si>
    <t>DAIHATSU DIESEL MFG. CO. LTD.</t>
  </si>
  <si>
    <t>800005181</t>
  </si>
  <si>
    <t>Lo Low Pressure Trip</t>
  </si>
  <si>
    <t>MBS 5100</t>
  </si>
  <si>
    <t>J74MK-493</t>
  </si>
  <si>
    <t>MKR000571</t>
  </si>
  <si>
    <t>DANFOSS CO. LTD.</t>
  </si>
  <si>
    <t>800005225</t>
  </si>
  <si>
    <t>Mechanical Seal/Gland Packing</t>
  </si>
  <si>
    <t>VF6</t>
  </si>
  <si>
    <t>800005234</t>
  </si>
  <si>
    <t>LO Cartridge Filter</t>
  </si>
  <si>
    <t>3YM27A</t>
  </si>
  <si>
    <t>042581-01B00</t>
  </si>
  <si>
    <t>MKR003975</t>
  </si>
  <si>
    <t>YANMAR CO. LTD.</t>
  </si>
  <si>
    <t>800005235</t>
  </si>
  <si>
    <t>FO Cartridge Filter</t>
  </si>
  <si>
    <t>003320-01B00</t>
  </si>
  <si>
    <t>800005236</t>
  </si>
  <si>
    <t>042568-00X00</t>
  </si>
  <si>
    <t>Entry No.</t>
  </si>
  <si>
    <t>Approval Setup Description</t>
  </si>
  <si>
    <t>Work Order No.</t>
  </si>
  <si>
    <t>Work Order Description</t>
  </si>
  <si>
    <t>Approved by</t>
  </si>
  <si>
    <t>Deviation in %</t>
  </si>
  <si>
    <t>Created at</t>
  </si>
  <si>
    <t>Approved at</t>
  </si>
  <si>
    <t>Work Order Deferm. Counter</t>
  </si>
  <si>
    <t>New Due Date</t>
  </si>
  <si>
    <t>Current Counter Value</t>
  </si>
  <si>
    <t>Deferment to Counter Value</t>
  </si>
  <si>
    <t>Project No.</t>
  </si>
  <si>
    <t>New Project No.</t>
  </si>
  <si>
    <t>Deviation in Days</t>
  </si>
  <si>
    <t>Approval By User</t>
  </si>
  <si>
    <t>Delegate to User Group</t>
  </si>
  <si>
    <t>Approval Setup Code</t>
  </si>
  <si>
    <t>Automatically Approved</t>
  </si>
  <si>
    <t>By Admin</t>
  </si>
  <si>
    <t>Employee ID</t>
  </si>
  <si>
    <t>Employee Name</t>
  </si>
  <si>
    <t>User ID</t>
  </si>
  <si>
    <t>Created by</t>
  </si>
  <si>
    <t>Closed</t>
  </si>
  <si>
    <t>Comment</t>
  </si>
  <si>
    <t>WIAD</t>
  </si>
  <si>
    <t>Approval For TMDS</t>
  </si>
  <si>
    <t>WIAD.25.4575</t>
  </si>
  <si>
    <t>Pending</t>
  </si>
  <si>
    <t>COFF</t>
  </si>
  <si>
    <t>AFLO.26.3359</t>
  </si>
  <si>
    <t>CRITICAL EQUIPMENT MONTHLY PERFORMANCE TEST</t>
  </si>
  <si>
    <t>CENG</t>
  </si>
  <si>
    <t>AFLO.26.3507</t>
  </si>
  <si>
    <t>SENA.26.2167</t>
  </si>
  <si>
    <t>AE CRANKSHAFT DEFLECTION MEASUREMENT</t>
  </si>
  <si>
    <t>Approval for TMDS</t>
  </si>
  <si>
    <t>EVGE.26.2373</t>
  </si>
  <si>
    <t>EVGE.26.2968</t>
  </si>
  <si>
    <t>AE MONTHLY PERFORMANCE CHECK</t>
  </si>
  <si>
    <t>EVGE.26.2969</t>
  </si>
  <si>
    <t>EVGE.26.2970</t>
  </si>
  <si>
    <t>EVGE.26.2971</t>
  </si>
  <si>
    <t>FHON.26.3411</t>
  </si>
  <si>
    <t>FLOY.26.3570</t>
  </si>
  <si>
    <t>4ENG</t>
  </si>
  <si>
    <t>FLOY.26.3571</t>
  </si>
  <si>
    <t>FLOY.26.3572</t>
  </si>
  <si>
    <t>MAAC.26.3149</t>
  </si>
  <si>
    <t>ENEX</t>
  </si>
  <si>
    <t>ENEX.26.4701</t>
  </si>
  <si>
    <t>MEGS.26.3458</t>
  </si>
  <si>
    <t>2ENG</t>
  </si>
  <si>
    <t>MGCR.26.1826</t>
  </si>
  <si>
    <t>3ENG</t>
  </si>
  <si>
    <t>MAOL.26.2734</t>
  </si>
  <si>
    <t>MAOL.26.2735</t>
  </si>
  <si>
    <t>MAOL.26.2736</t>
  </si>
  <si>
    <t>MAOL.26.2737</t>
  </si>
  <si>
    <t>MAOL.26.2310</t>
  </si>
  <si>
    <t>MRWD.25.7413</t>
  </si>
  <si>
    <t>BALLAST WATER RESIDUAL BIOCIDES MONITORING - VGP</t>
  </si>
  <si>
    <t>MRWD.26.2693</t>
  </si>
  <si>
    <t>MRWD.26.2743</t>
  </si>
  <si>
    <t>MRWD.26.2897</t>
  </si>
  <si>
    <t>MRWD.26.2898</t>
  </si>
  <si>
    <t>MRWD.26.2954</t>
  </si>
  <si>
    <t>MRWD.26.2955</t>
  </si>
  <si>
    <t>MRWD.26.3234</t>
  </si>
  <si>
    <t>MRWD.26.1781</t>
  </si>
  <si>
    <t>MRWD.26.1879</t>
  </si>
  <si>
    <t>Admin SI. No.</t>
  </si>
  <si>
    <t>Certificate</t>
  </si>
  <si>
    <t>Certificate Type</t>
  </si>
  <si>
    <t>Is vessel certificate ?</t>
  </si>
  <si>
    <t>Status</t>
  </si>
  <si>
    <t>Expiry Date</t>
  </si>
  <si>
    <t>Certificate Category</t>
  </si>
  <si>
    <t>Certificate No.</t>
  </si>
  <si>
    <t>Is Survey Linked?</t>
  </si>
  <si>
    <t>Surveyed On</t>
  </si>
  <si>
    <t>Extended Date</t>
  </si>
  <si>
    <t>1.106</t>
  </si>
  <si>
    <t>BULLDOG</t>
  </si>
  <si>
    <t>Liferafts HRU certificate</t>
  </si>
  <si>
    <t>Final/Full Term</t>
  </si>
  <si>
    <t>Under Amendment</t>
  </si>
  <si>
    <t>Expired</t>
  </si>
  <si>
    <t>LSA / FFA</t>
  </si>
  <si>
    <t>NA</t>
  </si>
  <si>
    <t>1.108</t>
  </si>
  <si>
    <t>Cap San Artemissio</t>
  </si>
  <si>
    <t xml:space="preserve">GMDSS Battery – Annual Drain test </t>
  </si>
  <si>
    <t>Annual</t>
  </si>
  <si>
    <t>Open</t>
  </si>
  <si>
    <t>Class &amp; Statutory</t>
  </si>
  <si>
    <t>1.109</t>
  </si>
  <si>
    <t xml:space="preserve">GMDSS Radio </t>
  </si>
  <si>
    <t>1.14</t>
  </si>
  <si>
    <t>Cap San Tainaro</t>
  </si>
  <si>
    <t>Statement of compliance for IMO DCS annual submission</t>
  </si>
  <si>
    <t>26033-2024</t>
  </si>
  <si>
    <t>BOW LION</t>
  </si>
  <si>
    <t>Full Term</t>
  </si>
  <si>
    <t>25G14965-DCS</t>
  </si>
  <si>
    <t>1.21</t>
  </si>
  <si>
    <t>Maersk Saltoro</t>
  </si>
  <si>
    <t>Statement of compliance fuel oil consumption reporting</t>
  </si>
  <si>
    <t>Draft</t>
  </si>
  <si>
    <t>23WM4607-DCS</t>
  </si>
  <si>
    <t>35480-2025</t>
  </si>
  <si>
    <t>25G13522-DCS</t>
  </si>
  <si>
    <t>1.27</t>
  </si>
  <si>
    <t>Last port state inspection certificate</t>
  </si>
  <si>
    <t>Half Yearly</t>
  </si>
  <si>
    <t>133234</t>
  </si>
  <si>
    <t>4.7A</t>
  </si>
  <si>
    <t>MAERSK YELLOWSTONE</t>
  </si>
  <si>
    <t>AMSA</t>
  </si>
  <si>
    <t>1.59</t>
  </si>
  <si>
    <t>Certificate of inspection - Flag state</t>
  </si>
  <si>
    <t>83049-FA</t>
  </si>
  <si>
    <t>1.60</t>
  </si>
  <si>
    <t>FVTY</t>
  </si>
  <si>
    <t>BOW VICTORY</t>
  </si>
  <si>
    <t>AIS Annual Shore Inspection (together with Radio Survey)</t>
  </si>
  <si>
    <t>20250251066484</t>
  </si>
  <si>
    <t>GLPO</t>
  </si>
  <si>
    <t>Globe Polaris</t>
  </si>
  <si>
    <t>1.61</t>
  </si>
  <si>
    <t>EPIRB Annual Test</t>
  </si>
  <si>
    <t>20250251066483</t>
  </si>
  <si>
    <t>1.63</t>
  </si>
  <si>
    <t>VDR - Annual performance Test Report</t>
  </si>
  <si>
    <t>20250251075822</t>
  </si>
  <si>
    <t>240919-2AG</t>
  </si>
  <si>
    <t>1.64</t>
  </si>
  <si>
    <t>Certificate of Compliance- VDRS-VDR System</t>
  </si>
  <si>
    <t>24020460A</t>
  </si>
  <si>
    <t>COC246883</t>
  </si>
  <si>
    <t>25050091A</t>
  </si>
  <si>
    <t>1.68</t>
  </si>
  <si>
    <t>EUMRV – Document of Compliance (DOC)</t>
  </si>
  <si>
    <t>35480-25</t>
  </si>
  <si>
    <t>1.74</t>
  </si>
  <si>
    <t>EPIRB HRU Expiry</t>
  </si>
  <si>
    <t>Service 2 Yearly</t>
  </si>
  <si>
    <t>1.88</t>
  </si>
  <si>
    <t>LifeBoat Stbd Davit Annual Servicing</t>
  </si>
  <si>
    <t>Service annual</t>
  </si>
  <si>
    <t>1.89</t>
  </si>
  <si>
    <t>Lifeboat Port Davit Annual Servicing</t>
  </si>
  <si>
    <t>1.94</t>
  </si>
  <si>
    <t>Lifeboat- Stbd- Annual Inspection of Launching Appliances</t>
  </si>
  <si>
    <t>1.95</t>
  </si>
  <si>
    <t>Lifeboat- Port- Annual Inspection of Launching Appliances</t>
  </si>
  <si>
    <t>1.97</t>
  </si>
  <si>
    <t>Ever Globe</t>
  </si>
  <si>
    <t>CO2 Fixed Fire Fighting System- 2-Yearly Service</t>
  </si>
  <si>
    <t>2218.24</t>
  </si>
  <si>
    <t>10.12</t>
  </si>
  <si>
    <t>Tonnage Tax Reciepts</t>
  </si>
  <si>
    <t>Trading Area</t>
  </si>
  <si>
    <t>6955</t>
  </si>
  <si>
    <t>10.2</t>
  </si>
  <si>
    <t>Asian gypsy moth</t>
  </si>
  <si>
    <t>Rejected</t>
  </si>
  <si>
    <t>BC-1076321</t>
  </si>
  <si>
    <t>321224030001-AGM</t>
  </si>
  <si>
    <t>310024090095-AGM</t>
  </si>
  <si>
    <t>10.3</t>
  </si>
  <si>
    <t>California COFR</t>
  </si>
  <si>
    <t>5-2795-001-002</t>
  </si>
  <si>
    <t>11.16</t>
  </si>
  <si>
    <t>UM YOSHINO</t>
  </si>
  <si>
    <t>Notice of intent under NPDES VGP</t>
  </si>
  <si>
    <t>Others</t>
  </si>
  <si>
    <t>VPBG8133G</t>
  </si>
  <si>
    <t>11.22</t>
  </si>
  <si>
    <t>PMS-class type approval certificate</t>
  </si>
  <si>
    <t>TAPMS000001K</t>
  </si>
  <si>
    <t>11.27</t>
  </si>
  <si>
    <t>International ship sanitation control exemption certificate (ISSCEC)</t>
  </si>
  <si>
    <t>Pending Approval</t>
  </si>
  <si>
    <t>SS2025101390</t>
  </si>
  <si>
    <t>Short Term</t>
  </si>
  <si>
    <t>NIL</t>
  </si>
  <si>
    <t>BOW MERCURY</t>
  </si>
  <si>
    <t>PHC/SSCEC/2025/267</t>
  </si>
  <si>
    <t>11.35</t>
  </si>
  <si>
    <t>Tonnage tax receipts</t>
  </si>
  <si>
    <t>2026 100003173</t>
  </si>
  <si>
    <t>11.9</t>
  </si>
  <si>
    <t>Panama canal tonnage</t>
  </si>
  <si>
    <t>Permanent</t>
  </si>
  <si>
    <t>19CP0036-KZ</t>
  </si>
  <si>
    <t>12.16</t>
  </si>
  <si>
    <t>Lube oil laboratory analysis</t>
  </si>
  <si>
    <t>FSS Code</t>
  </si>
  <si>
    <t>-</t>
  </si>
  <si>
    <t>12.32</t>
  </si>
  <si>
    <t>Loadicator approval</t>
  </si>
  <si>
    <t>21-2115572-PDA</t>
  </si>
  <si>
    <t>12.34</t>
  </si>
  <si>
    <t>Co2 fixed fire fighting system- 2- 3 yearly service ( along with Intermediate survey)</t>
  </si>
  <si>
    <t>20240602A</t>
  </si>
  <si>
    <t>12.4</t>
  </si>
  <si>
    <t>NOVR</t>
  </si>
  <si>
    <t>NORD VICTOR</t>
  </si>
  <si>
    <t>Fixed gas detection system shore calibration</t>
  </si>
  <si>
    <t>25TCS-0534-1,2</t>
  </si>
  <si>
    <t>12.40</t>
  </si>
  <si>
    <t>Air Quality Check for SCBA Recharge Compressor</t>
  </si>
  <si>
    <t>DMS250563</t>
  </si>
  <si>
    <t>NOVN</t>
  </si>
  <si>
    <t>NORD VIGNALE</t>
  </si>
  <si>
    <t>DMS2505108</t>
  </si>
  <si>
    <t>13.14</t>
  </si>
  <si>
    <t>Admirality Chart Folio Management</t>
  </si>
  <si>
    <t>SOLAS</t>
  </si>
  <si>
    <t>14.1</t>
  </si>
  <si>
    <t>Lifeboat Lowering Into Water</t>
  </si>
  <si>
    <t>LIFEBOAT LOWRING</t>
  </si>
  <si>
    <t>2.11</t>
  </si>
  <si>
    <t>ITF special agreement blue certificate</t>
  </si>
  <si>
    <t>Insurance</t>
  </si>
  <si>
    <t>1668 - 2025 SFA</t>
  </si>
  <si>
    <t>1623-2025 SFA</t>
  </si>
  <si>
    <t>WF/52/09/00000486/25 &amp; 381 - 2025 SFA</t>
  </si>
  <si>
    <t>2.32</t>
  </si>
  <si>
    <t>Low expansion foam- first periodical test of foam concentrate (first test shall be at 3-years)</t>
  </si>
  <si>
    <t>Service 3 Yearly</t>
  </si>
  <si>
    <t>LSA/FFA</t>
  </si>
  <si>
    <t>ZY-17022</t>
  </si>
  <si>
    <t>3.3</t>
  </si>
  <si>
    <t>MHDN</t>
  </si>
  <si>
    <t>MH DAISEN</t>
  </si>
  <si>
    <t>SCBA cylinders - hydrostatic pressure test</t>
  </si>
  <si>
    <t>MARPOL</t>
  </si>
  <si>
    <t>FNQ-2887-02</t>
  </si>
  <si>
    <t>4.10</t>
  </si>
  <si>
    <t xml:space="preserve">SART Annual Test </t>
  </si>
  <si>
    <t>Service</t>
  </si>
  <si>
    <t>82492</t>
  </si>
  <si>
    <t>4.15</t>
  </si>
  <si>
    <t>Liferafts servicing</t>
  </si>
  <si>
    <t>303200564</t>
  </si>
  <si>
    <t>4.20</t>
  </si>
  <si>
    <t>HOTA</t>
  </si>
  <si>
    <t>MH HOTAKA</t>
  </si>
  <si>
    <t xml:space="preserve">Brake Rendering Test </t>
  </si>
  <si>
    <t>FDM-HMD-H2889</t>
  </si>
  <si>
    <t>4.5</t>
  </si>
  <si>
    <t>UTI calibration report</t>
  </si>
  <si>
    <t>Class/Flag</t>
  </si>
  <si>
    <t>25-TCS-0534-17,18,19</t>
  </si>
  <si>
    <t>5.33</t>
  </si>
  <si>
    <t>Drinking Water Analysis Report</t>
  </si>
  <si>
    <t>Service Half Yearly</t>
  </si>
  <si>
    <t>Miscellaneous</t>
  </si>
  <si>
    <t>5.37</t>
  </si>
  <si>
    <t>Bunker Lines- Pressure Testing</t>
  </si>
  <si>
    <t>5.38</t>
  </si>
  <si>
    <t>Elevator Test Certificate</t>
  </si>
  <si>
    <t>5.41</t>
  </si>
  <si>
    <t>SMOU blue card</t>
  </si>
  <si>
    <t>446-2025 SFA</t>
  </si>
  <si>
    <t>5.42</t>
  </si>
  <si>
    <t>Ship Security Alert System(SSAS)</t>
  </si>
  <si>
    <t>24VPO0300</t>
  </si>
  <si>
    <t>5.47</t>
  </si>
  <si>
    <t>BA Compressor Air Quality Test</t>
  </si>
  <si>
    <t>5.65</t>
  </si>
  <si>
    <t>GLFR</t>
  </si>
  <si>
    <t>GLOBE FRONTIER</t>
  </si>
  <si>
    <t>BALLAST SAMPLE TESTING AND VGP TESTING FOR BWTS</t>
  </si>
  <si>
    <t>TC/LR/25309988</t>
  </si>
  <si>
    <t>6.4</t>
  </si>
  <si>
    <t>Barometer calibration certificate</t>
  </si>
  <si>
    <t>Calibration</t>
  </si>
  <si>
    <t>BAROMETER CERTIFICATE</t>
  </si>
  <si>
    <t>6.6</t>
  </si>
  <si>
    <t>Oxygen analyzer calibration certificate</t>
  </si>
  <si>
    <t>6.9</t>
  </si>
  <si>
    <t>Personal multi gas detector annual calibration certificate</t>
  </si>
  <si>
    <t>25-TCS-0534-9-14</t>
  </si>
  <si>
    <t>8.12</t>
  </si>
  <si>
    <t>Foam analysis certificate</t>
  </si>
  <si>
    <t>LSA Code</t>
  </si>
  <si>
    <t>8.38</t>
  </si>
  <si>
    <t>Portable gas detector annual calibration certificate</t>
  </si>
  <si>
    <t>GLIR</t>
  </si>
  <si>
    <t>Globe Iris</t>
  </si>
  <si>
    <t>2025060401</t>
  </si>
  <si>
    <t>9.10</t>
  </si>
  <si>
    <t>Pressure Calibrator- Calibration Certificate</t>
  </si>
  <si>
    <t>25TCS-0534-3</t>
  </si>
  <si>
    <t>9.11</t>
  </si>
  <si>
    <t>Temperature calibrator- calibration certificate</t>
  </si>
  <si>
    <t>25TCS-0324-5</t>
  </si>
  <si>
    <t>9.14</t>
  </si>
  <si>
    <t xml:space="preserve">No.1 GYRO COMPASS SERVICE </t>
  </si>
  <si>
    <t>CMZ-900S</t>
  </si>
  <si>
    <t>1.1</t>
  </si>
  <si>
    <t>BOW GLORY</t>
  </si>
  <si>
    <t>Certificate of registry</t>
  </si>
  <si>
    <t>In Due Range</t>
  </si>
  <si>
    <t>48494-17-B</t>
  </si>
  <si>
    <t>SREGLC-8432452</t>
  </si>
  <si>
    <t>COR-0549-26</t>
  </si>
  <si>
    <t>1.10</t>
  </si>
  <si>
    <t>Maritime labour certificate (MLC)</t>
  </si>
  <si>
    <t>Interim</t>
  </si>
  <si>
    <t>IT-26NS-L000200MLC</t>
  </si>
  <si>
    <t>PUSAKA MALAKA</t>
  </si>
  <si>
    <t>26UH-L004800MLC</t>
  </si>
  <si>
    <t>1.103</t>
  </si>
  <si>
    <t>MBCN</t>
  </si>
  <si>
    <t>MAERSK BISCAYNE</t>
  </si>
  <si>
    <t>Green Passport - Inventory of Hazardous Materials (IHM) Statement of Compliance</t>
  </si>
  <si>
    <t>IHM-009421</t>
  </si>
  <si>
    <t>U60028491</t>
  </si>
  <si>
    <t>1.11</t>
  </si>
  <si>
    <t>Radio station license</t>
  </si>
  <si>
    <t>SH/26/0129</t>
  </si>
  <si>
    <t>SH/25/0666</t>
  </si>
  <si>
    <t>1.124</t>
  </si>
  <si>
    <t xml:space="preserve"> Loadicator Test Condition</t>
  </si>
  <si>
    <t>KC26NS0002-STI</t>
  </si>
  <si>
    <t>KORA</t>
  </si>
  <si>
    <t>MH KONPIRA</t>
  </si>
  <si>
    <t>36491-2026</t>
  </si>
  <si>
    <t>SOC-36926-2026</t>
  </si>
  <si>
    <t>SOC:36932-2026</t>
  </si>
  <si>
    <t>36928-2026</t>
  </si>
  <si>
    <t>MAERSK EVERGLADES</t>
  </si>
  <si>
    <t>36933-2026</t>
  </si>
  <si>
    <t>1.15</t>
  </si>
  <si>
    <t>Document of Compliance (DOC)</t>
  </si>
  <si>
    <t>25BY-M008800SGPDOC</t>
  </si>
  <si>
    <t>1.16</t>
  </si>
  <si>
    <t>International anti-fouling system certificate (IAFSC)</t>
  </si>
  <si>
    <t>No Due</t>
  </si>
  <si>
    <t>26NS000200-AFS</t>
  </si>
  <si>
    <t>1.2</t>
  </si>
  <si>
    <t>BOW LEOPARD</t>
  </si>
  <si>
    <t>Safety Construction Certificate (CSSCC)</t>
  </si>
  <si>
    <t>23IB0030-SCC</t>
  </si>
  <si>
    <t>26NS000200-SCC</t>
  </si>
  <si>
    <t>CASS</t>
  </si>
  <si>
    <t>Cap San Sounio</t>
  </si>
  <si>
    <t>241T056500-SCC</t>
  </si>
  <si>
    <t>1.20</t>
  </si>
  <si>
    <t>Confirmation of compliance - SEEMP PART-II</t>
  </si>
  <si>
    <t>T2409606</t>
  </si>
  <si>
    <t>1.24</t>
  </si>
  <si>
    <t>Certificate of class</t>
  </si>
  <si>
    <t>23IB0030-CLS</t>
  </si>
  <si>
    <t>26NS000200-CLS</t>
  </si>
  <si>
    <t>23283576-5901324-039</t>
  </si>
  <si>
    <t>1.28</t>
  </si>
  <si>
    <t>Supplement to IOPP Form-A (non-tankers) or Form-B (tankers)</t>
  </si>
  <si>
    <t>23IB0030-OPP</t>
  </si>
  <si>
    <t>26NS0002-OPR</t>
  </si>
  <si>
    <t>1.30</t>
  </si>
  <si>
    <t>International ship security certificate (ISSC)</t>
  </si>
  <si>
    <t>202200552-3</t>
  </si>
  <si>
    <t>1.31</t>
  </si>
  <si>
    <t>International ballast water management certificate (IBWMC)</t>
  </si>
  <si>
    <t>26NS000201-BWM</t>
  </si>
  <si>
    <t>1.34</t>
  </si>
  <si>
    <t>International energy efficiency certificate (IEEC)</t>
  </si>
  <si>
    <t>26NS000200-EEC</t>
  </si>
  <si>
    <t>1.35</t>
  </si>
  <si>
    <t>International certificate of fitness for carriage of dangerous chemicals in bulk (IBC code)</t>
  </si>
  <si>
    <t>85HO0100000-CHM</t>
  </si>
  <si>
    <t>1.39</t>
  </si>
  <si>
    <t>International sewage pollution prevention certificate (ISPPC)</t>
  </si>
  <si>
    <t>26NS000200-SPP</t>
  </si>
  <si>
    <t>1.42</t>
  </si>
  <si>
    <t>International load line certificate (ILLC)</t>
  </si>
  <si>
    <t>23IB0030-LLC</t>
  </si>
  <si>
    <t>1.43</t>
  </si>
  <si>
    <t>Cargo ship safety equipment certificate (CSSEC)</t>
  </si>
  <si>
    <t>24HO0132500-SEC</t>
  </si>
  <si>
    <t>26NS000200-SEC</t>
  </si>
  <si>
    <t>1.44</t>
  </si>
  <si>
    <t>International air pollution prevention certificate (IAPPC)</t>
  </si>
  <si>
    <t>CD-26PX033200-APP</t>
  </si>
  <si>
    <t>23IB0030-APP</t>
  </si>
  <si>
    <t>26NS000200-APP</t>
  </si>
  <si>
    <t>25HB008200-APP</t>
  </si>
  <si>
    <t>:YY283576-4610056-169</t>
  </si>
  <si>
    <t>1.45</t>
  </si>
  <si>
    <t>International oil pollution prevention certificate (IOPP)</t>
  </si>
  <si>
    <t>26NS000200-OPP</t>
  </si>
  <si>
    <t>YY283576-4610056-026</t>
  </si>
  <si>
    <t>1.47</t>
  </si>
  <si>
    <t>Record of safety equipment (for CSSEC) Form-E</t>
  </si>
  <si>
    <t>26NS0002-SER</t>
  </si>
  <si>
    <t>1.49</t>
  </si>
  <si>
    <t>International tonnage certificate</t>
  </si>
  <si>
    <t>26NS000200-TM</t>
  </si>
  <si>
    <t>1.55</t>
  </si>
  <si>
    <t>Minimum safe manning certificate</t>
  </si>
  <si>
    <t>MSMD-00487-26</t>
  </si>
  <si>
    <t>7590804</t>
  </si>
  <si>
    <t>DK-MED000066</t>
  </si>
  <si>
    <t>1.65</t>
  </si>
  <si>
    <t>15 PPM Oil Content Monitor-Calibration</t>
  </si>
  <si>
    <t>Service 5 Yearly</t>
  </si>
  <si>
    <t>2004-025-MED-R7</t>
  </si>
  <si>
    <t>1.7</t>
  </si>
  <si>
    <t>Continuous synopsis record (CSR)- state latest no.</t>
  </si>
  <si>
    <t>1054319</t>
  </si>
  <si>
    <t>1.70</t>
  </si>
  <si>
    <t>Green Passport -Inventory of Hazardous Materials (IHM)  Statement of Compliance</t>
  </si>
  <si>
    <t>IHM009421</t>
  </si>
  <si>
    <t>1.8</t>
  </si>
  <si>
    <t>Cargo ship safety radio certificate (CSSRC)</t>
  </si>
  <si>
    <t>24RT013700-SRC</t>
  </si>
  <si>
    <t>26NS000200-SRC</t>
  </si>
  <si>
    <t>23283576-6716783-143</t>
  </si>
  <si>
    <t>1.85</t>
  </si>
  <si>
    <t>Rescue boat wire fall renewal</t>
  </si>
  <si>
    <t>D099-21021-06</t>
  </si>
  <si>
    <t>OOCL Brazil (Seroja Tiga )</t>
  </si>
  <si>
    <t>EMLB2024N0522</t>
  </si>
  <si>
    <t>1.9</t>
  </si>
  <si>
    <t>Record of radio equipment (for CSSRC) Form-R</t>
  </si>
  <si>
    <t>26NS0002-SRR</t>
  </si>
  <si>
    <t>1.92</t>
  </si>
  <si>
    <t>Free Fall Boat Annual Service</t>
  </si>
  <si>
    <t>JY25040207</t>
  </si>
  <si>
    <t>M923080L-COS1</t>
  </si>
  <si>
    <t>1.96</t>
  </si>
  <si>
    <t>PBOR</t>
  </si>
  <si>
    <t>PUSAKA BORNEO</t>
  </si>
  <si>
    <t>Portable Foam Appliances- Annual Test of Foam Concentrate</t>
  </si>
  <si>
    <t>DMS260533</t>
  </si>
  <si>
    <t>1.98</t>
  </si>
  <si>
    <t>Portable Fire Extinguisher- 2-Yearly Service</t>
  </si>
  <si>
    <t>20240093030312</t>
  </si>
  <si>
    <t>10.13</t>
  </si>
  <si>
    <t>Multiple Load Line Assignment Booklet</t>
  </si>
  <si>
    <t>25PSP01423-25HJ280MC</t>
  </si>
  <si>
    <t>56211-65892-2026-0</t>
  </si>
  <si>
    <t>11.12</t>
  </si>
  <si>
    <t>TRGY</t>
  </si>
  <si>
    <t>TRUST GALAXY</t>
  </si>
  <si>
    <t>Medical locker certificate (if applicable)</t>
  </si>
  <si>
    <t>11.18</t>
  </si>
  <si>
    <t>Type approval - incinerator</t>
  </si>
  <si>
    <t>TA23460E(R)</t>
  </si>
  <si>
    <t>11.19</t>
  </si>
  <si>
    <t>Type approvals - OWS</t>
  </si>
  <si>
    <t>11.25</t>
  </si>
  <si>
    <t>International ship sanitation certificate</t>
  </si>
  <si>
    <t>SSCEC 5628/2026</t>
  </si>
  <si>
    <t>PRAD</t>
  </si>
  <si>
    <t>PRECIOUS ADELAIDE</t>
  </si>
  <si>
    <t>1880144</t>
  </si>
  <si>
    <t>N-11</t>
  </si>
  <si>
    <t>PHC/SSCEC/2025/303</t>
  </si>
  <si>
    <t>SSCES</t>
  </si>
  <si>
    <t>11.31</t>
  </si>
  <si>
    <t>Medical chest</t>
  </si>
  <si>
    <t>10001655</t>
  </si>
  <si>
    <t>11.7</t>
  </si>
  <si>
    <t>Declaration of maritime labour compliance part-II (DMLC-II)</t>
  </si>
  <si>
    <t>DMLC/00301/2026</t>
  </si>
  <si>
    <t>13.1</t>
  </si>
  <si>
    <t>Rescue boat annual inspection of launching applicances</t>
  </si>
  <si>
    <t>Service 10 Yearly</t>
  </si>
  <si>
    <t>M923080L-COS2</t>
  </si>
  <si>
    <t>13.18</t>
  </si>
  <si>
    <t>Certificate Of Fitness-Carriage Of Dangerous Chemical In Bulk-Type2</t>
  </si>
  <si>
    <t>26NS000200-CHM</t>
  </si>
  <si>
    <t>13.66</t>
  </si>
  <si>
    <t>Compass Deviation, Flag Requirement</t>
  </si>
  <si>
    <t>N-2120</t>
  </si>
  <si>
    <t>14.2</t>
  </si>
  <si>
    <t>IHM EU- CERTIFICATE ON INVENTORY OF HAZARDOUS MATERIALS</t>
  </si>
  <si>
    <t>26NS000200-IHM-1</t>
  </si>
  <si>
    <t>14.59</t>
  </si>
  <si>
    <t>Chemical Suit (Makers Certificate)</t>
  </si>
  <si>
    <t>Replacement</t>
  </si>
  <si>
    <t>250S-K-5443</t>
  </si>
  <si>
    <t>ALTR-1012793-25</t>
  </si>
  <si>
    <t>17.1</t>
  </si>
  <si>
    <t>Safety Management System Certificate - Intermediate Endorsement</t>
  </si>
  <si>
    <t>Intermediate</t>
  </si>
  <si>
    <t>ISM</t>
  </si>
  <si>
    <t>IT-26NS-M000600SMI</t>
  </si>
  <si>
    <t>18.1</t>
  </si>
  <si>
    <t>International Ship Security Certificate - Intermediate Endorsement</t>
  </si>
  <si>
    <t>ISPS</t>
  </si>
  <si>
    <t>IT-26NS-P000200ISSC</t>
  </si>
  <si>
    <t>2.12</t>
  </si>
  <si>
    <t>WSMC enrolment agreement</t>
  </si>
  <si>
    <t>126-0311-A005</t>
  </si>
  <si>
    <t>2.13</t>
  </si>
  <si>
    <t>Civil liability for bunker oil pollution</t>
  </si>
  <si>
    <t>CLBC-02690-26-SI</t>
  </si>
  <si>
    <t>2.17</t>
  </si>
  <si>
    <t>MLC certificate for financial security of seafarers</t>
  </si>
  <si>
    <t>2.2</t>
  </si>
  <si>
    <t>H&amp;M insurance certificate</t>
  </si>
  <si>
    <t>HCN/2026/00102</t>
  </si>
  <si>
    <t>2.7</t>
  </si>
  <si>
    <t>Certificate of insurance for the removal of wrecks (Nairobi convention)</t>
  </si>
  <si>
    <t>WRC-02904-26-SI</t>
  </si>
  <si>
    <t>2.8</t>
  </si>
  <si>
    <t>Civil liability convention certificate (CLC) - Oil</t>
  </si>
  <si>
    <t>CLC-00670-26-SI</t>
  </si>
  <si>
    <t>20.2</t>
  </si>
  <si>
    <t>RPSL Licence Copy</t>
  </si>
  <si>
    <t>MLC</t>
  </si>
  <si>
    <t>RPSL-CHN-033</t>
  </si>
  <si>
    <t>25.1</t>
  </si>
  <si>
    <t>Certificate of Fitness -Carriage of Dangerous Chemicals in Bulk</t>
  </si>
  <si>
    <t>IBC Code-OCIMF</t>
  </si>
  <si>
    <t>3.31</t>
  </si>
  <si>
    <t>BWMC-017139</t>
  </si>
  <si>
    <t>3.41</t>
  </si>
  <si>
    <t>CA – COFR Certificate</t>
  </si>
  <si>
    <t>1-0472-011-001</t>
  </si>
  <si>
    <t>3.42</t>
  </si>
  <si>
    <t xml:space="preserve"> BWMS USCG Certificate of Approval</t>
  </si>
  <si>
    <t>162060/19/6</t>
  </si>
  <si>
    <t>3.47</t>
  </si>
  <si>
    <t>Engine international air pollution prevention certificate (EIAPPC) for all engines</t>
  </si>
  <si>
    <t>25S100685EAP</t>
  </si>
  <si>
    <t>3.60</t>
  </si>
  <si>
    <t>SEEMP Part - 1 First page from Manual</t>
  </si>
  <si>
    <t>25HI0006-SEEMP</t>
  </si>
  <si>
    <t>MFTR</t>
  </si>
  <si>
    <t>MAERSK FINISTERRE</t>
  </si>
  <si>
    <t>13448296</t>
  </si>
  <si>
    <t>4.18</t>
  </si>
  <si>
    <t>Loadicator Approval &amp; Survey Certificate</t>
  </si>
  <si>
    <t>4.19</t>
  </si>
  <si>
    <t>CO2 System Inspection</t>
  </si>
  <si>
    <t>SRWI-6CE1159F-30188</t>
  </si>
  <si>
    <t>2024-04-281</t>
  </si>
  <si>
    <t>5.39</t>
  </si>
  <si>
    <t>Certificate of Insurance- Hull &amp; Machinery</t>
  </si>
  <si>
    <t>HCN/2025/00208</t>
  </si>
  <si>
    <t>1365-2026 SFA</t>
  </si>
  <si>
    <t>6880981</t>
  </si>
  <si>
    <t>EN10204-2.2</t>
  </si>
  <si>
    <t>6.1</t>
  </si>
  <si>
    <t>SF-21</t>
  </si>
  <si>
    <t>6.15</t>
  </si>
  <si>
    <t xml:space="preserve">REGISTER OF LIFTING APPLIANCES AND LOOSE GEARS ANNUAL INSPECTION  </t>
  </si>
  <si>
    <t>YY284198-4990345-097</t>
  </si>
  <si>
    <t>6.25</t>
  </si>
  <si>
    <t>UTI 4  Calibration certificate</t>
  </si>
  <si>
    <t>11731E</t>
  </si>
  <si>
    <t>NIE/QAL/CAC/2026-2027/T0009</t>
  </si>
  <si>
    <t>IBUK</t>
  </si>
  <si>
    <t>MH IBUKI</t>
  </si>
  <si>
    <t>GYRO2311</t>
  </si>
  <si>
    <t>9.18</t>
  </si>
  <si>
    <t>NMAT</t>
  </si>
  <si>
    <t>NORD MATE</t>
  </si>
  <si>
    <t xml:space="preserve"> Annual SSAS Report</t>
  </si>
  <si>
    <t>XX</t>
  </si>
  <si>
    <t>9.2</t>
  </si>
  <si>
    <t>GMDSS shore based maintenance agreement</t>
  </si>
  <si>
    <t>SBMC/147/2025</t>
  </si>
  <si>
    <t>9.4</t>
  </si>
  <si>
    <t>Crew accommodation certificate</t>
  </si>
  <si>
    <t>25HI000600-CAC</t>
  </si>
  <si>
    <t>9.6</t>
  </si>
  <si>
    <t>Southern Reverence</t>
  </si>
  <si>
    <t>Resuscitator Bottles 2.2 Ltrs- Hydrostatic Pressure Testing</t>
  </si>
  <si>
    <t>VMSC-2604-1480</t>
  </si>
  <si>
    <t>Admin Sl No</t>
  </si>
  <si>
    <t>Survey/Service Name</t>
  </si>
  <si>
    <t>Survey Type</t>
  </si>
  <si>
    <t>Certificate Name</t>
  </si>
  <si>
    <t>Surveying Authority</t>
  </si>
  <si>
    <t>Surveyed By</t>
  </si>
  <si>
    <t>Frequency (Months)</t>
  </si>
  <si>
    <t>Window Period(-+)</t>
  </si>
  <si>
    <t>Due Range</t>
  </si>
  <si>
    <t>Location</t>
  </si>
  <si>
    <t>Completed Date</t>
  </si>
  <si>
    <t>Last Closed Date</t>
  </si>
  <si>
    <t>GLAT</t>
  </si>
  <si>
    <t>Globe Atlas</t>
  </si>
  <si>
    <t>Boiler No. 1 Survey</t>
  </si>
  <si>
    <t>Periodical</t>
  </si>
  <si>
    <t>NK</t>
  </si>
  <si>
    <t xml:space="preserve"> - </t>
  </si>
  <si>
    <t>Boiler Survey - Exhaust Gas Economizer</t>
  </si>
  <si>
    <t>Dry Docking Survey</t>
  </si>
  <si>
    <t>Tail Shaft Survey</t>
  </si>
  <si>
    <t>Special</t>
  </si>
  <si>
    <t>Annual Survey</t>
  </si>
  <si>
    <t>Amit Kumar</t>
  </si>
  <si>
    <t>10/01/22 - 04/01/23</t>
  </si>
  <si>
    <t>FUJAIRAH</t>
  </si>
  <si>
    <t>Class NK</t>
  </si>
  <si>
    <t>10/01/25 - 04/01/26</t>
  </si>
  <si>
    <t>1.58</t>
  </si>
  <si>
    <t>International certificate of fitness for the carriage of liquefied gases in bulk</t>
  </si>
  <si>
    <t>1.32</t>
  </si>
  <si>
    <t>Cargo Gear Annual Survey</t>
  </si>
  <si>
    <t>Cargo handling Appliances Five Yearly Load Test</t>
  </si>
  <si>
    <t>Class</t>
  </si>
  <si>
    <t>NKK</t>
  </si>
  <si>
    <t>01/17/23 - 07/17/23</t>
  </si>
  <si>
    <t>Santos</t>
  </si>
  <si>
    <t>10/01/24 - 04/01/25</t>
  </si>
  <si>
    <t>REPUBLIC OF PANAMA</t>
  </si>
  <si>
    <t>Gas Stella</t>
  </si>
  <si>
    <t>02/28/23 - 08/30/23</t>
  </si>
  <si>
    <t>10/08/25 - 04/08/26</t>
  </si>
  <si>
    <t>DNV</t>
  </si>
  <si>
    <t>07/21/23 - 01/21/24</t>
  </si>
  <si>
    <t>4.12</t>
  </si>
  <si>
    <t>ISM Safety Management certificate (SMC)</t>
  </si>
  <si>
    <t>06/13/23 - 12/13/23</t>
  </si>
  <si>
    <t>05/06/23 - 11/06/23</t>
  </si>
  <si>
    <t>05/09/21 - 11/09/21</t>
  </si>
  <si>
    <t>11/09/24 - 05/09/26</t>
  </si>
  <si>
    <t>Intermediate Hull Survey</t>
  </si>
  <si>
    <t>10.10</t>
  </si>
  <si>
    <t>USCG financial responsibility ( COFR)</t>
  </si>
  <si>
    <t>14.106</t>
  </si>
  <si>
    <t>Liferaft-1</t>
  </si>
  <si>
    <t>Liferaft-2</t>
  </si>
  <si>
    <t>Liferaft-3</t>
  </si>
  <si>
    <t>Liferaft-4</t>
  </si>
  <si>
    <t>Liferaft-5</t>
  </si>
  <si>
    <t>02/09/25 - 08/09/25</t>
  </si>
  <si>
    <t>Ever Grade</t>
  </si>
  <si>
    <t>Intermediate Survey</t>
  </si>
  <si>
    <t>BEAGLE</t>
  </si>
  <si>
    <t>12/14/25 - 06/14/26</t>
  </si>
  <si>
    <t>06/08/25 - 12/08/25</t>
  </si>
  <si>
    <t>01/28/23 - 07/28/23</t>
  </si>
  <si>
    <t>Annual Cargo Gear Survey</t>
  </si>
  <si>
    <t>Portable Gas Detector Calibration Certificate - 1</t>
  </si>
  <si>
    <t>Portable Gas Detector Calibration Certificate-2</t>
  </si>
  <si>
    <t>Periodic Survey &amp; Service</t>
  </si>
  <si>
    <t>HONOR GALAXY</t>
  </si>
  <si>
    <t>06/18/24 - 12/18/24</t>
  </si>
  <si>
    <t>GINGA ENDURANCE</t>
  </si>
  <si>
    <t>11/17/25 - 05/17/26</t>
  </si>
  <si>
    <t>10/15/25 - 04/15/26</t>
  </si>
  <si>
    <t>GSPT</t>
  </si>
  <si>
    <t>Gas Planet</t>
  </si>
  <si>
    <t>07/16/25 - 01/16/26</t>
  </si>
  <si>
    <t>HONGKONG</t>
  </si>
  <si>
    <t>CLASSNK</t>
  </si>
  <si>
    <t>D. LUKOV</t>
  </si>
  <si>
    <t>10/01/20 - 04/01/21</t>
  </si>
  <si>
    <t>Closure Verification</t>
  </si>
  <si>
    <t>04/01/23 - 10/01/24</t>
  </si>
  <si>
    <t>05/05/25 - 11/05/25</t>
  </si>
  <si>
    <t>CASM</t>
  </si>
  <si>
    <t>Cap San Maleas</t>
  </si>
  <si>
    <t>08/04/25 - 02/04/26</t>
  </si>
  <si>
    <t>NINGBO</t>
  </si>
  <si>
    <t>10/22/24 - 04/22/26</t>
  </si>
  <si>
    <t>Future Explorer</t>
  </si>
  <si>
    <t>06/07/25 - 12/07/25</t>
  </si>
  <si>
    <t>09/07/25 - 03/07/26</t>
  </si>
  <si>
    <t>SURVEY</t>
  </si>
  <si>
    <t>VIKING</t>
  </si>
  <si>
    <t>BPTR</t>
  </si>
  <si>
    <t>BOW PANTHER</t>
  </si>
  <si>
    <t>BCGR</t>
  </si>
  <si>
    <t>BOW COUGAR</t>
  </si>
  <si>
    <t>06/05/25 - 12/05/25</t>
  </si>
  <si>
    <t>BOW JAGUAR</t>
  </si>
  <si>
    <t>Renewal</t>
  </si>
  <si>
    <t>03/17/25 - 09/17/25</t>
  </si>
  <si>
    <t>Portable Gas Detector Calibration Certificate - 2</t>
  </si>
  <si>
    <t>8.16</t>
  </si>
  <si>
    <t>Portable gas detector annual calibration certificate 2</t>
  </si>
  <si>
    <t>8.18</t>
  </si>
  <si>
    <t>Portable gas detector annual calibration certificate 3</t>
  </si>
  <si>
    <t>1.40</t>
  </si>
  <si>
    <t>Statement of compliance- Annex V</t>
  </si>
  <si>
    <t>1.29</t>
  </si>
  <si>
    <t>Safety management certificate (SMC)</t>
  </si>
  <si>
    <t>ABS</t>
  </si>
  <si>
    <t>1.3</t>
  </si>
  <si>
    <t>Document of compliance - ISM Code (DOC)</t>
  </si>
  <si>
    <t>09/09/25 - 03/09/26</t>
  </si>
  <si>
    <t>Request Submitted (Vessel)</t>
  </si>
  <si>
    <t>CLASS NK</t>
  </si>
  <si>
    <t>T.C.VINK</t>
  </si>
  <si>
    <t>08/22/24 - 02/22/25</t>
  </si>
  <si>
    <t>ANTWERP &amp; ROTTERDAM</t>
  </si>
  <si>
    <t>TC VINK</t>
  </si>
  <si>
    <t>08/28/25 - 02/28/26</t>
  </si>
  <si>
    <t>Antwerp</t>
  </si>
  <si>
    <t>1.104</t>
  </si>
  <si>
    <t>ALMN</t>
  </si>
  <si>
    <t>ALTMANN</t>
  </si>
  <si>
    <t>3 Monthly Analysis</t>
  </si>
  <si>
    <t>EGCS effluent water analysis</t>
  </si>
  <si>
    <t>12/17/25 - 06/17/26</t>
  </si>
  <si>
    <t>10/22/25 - 04/22/26</t>
  </si>
  <si>
    <t>BOW LYNX</t>
  </si>
  <si>
    <t>12/06/25 - 06/06/26</t>
  </si>
  <si>
    <t>Rotterdam</t>
  </si>
  <si>
    <t>viking</t>
  </si>
  <si>
    <t>Singapore</t>
  </si>
  <si>
    <t>04/09/23 - 10/09/23</t>
  </si>
  <si>
    <t>CTBL</t>
  </si>
  <si>
    <t>CRISTOBAL</t>
  </si>
  <si>
    <t>10/12/25 - 04/12/26</t>
  </si>
  <si>
    <t xml:space="preserve">Class NK </t>
  </si>
  <si>
    <t>Rafeal</t>
  </si>
  <si>
    <t>04/10/25 - 10/10/25</t>
  </si>
  <si>
    <t>NEDERLAND</t>
  </si>
  <si>
    <t>04/10/24 - 10/10/24</t>
  </si>
  <si>
    <t>Mr Rafeal</t>
  </si>
  <si>
    <t>05/24/25 - 11/24/25</t>
  </si>
  <si>
    <t>MAERSK EL PALOMAR</t>
  </si>
  <si>
    <t>Amit KUmar</t>
  </si>
  <si>
    <t>Rafeal Borges</t>
  </si>
  <si>
    <t>04/01/24 - 10/01/25</t>
  </si>
  <si>
    <t>Houston</t>
  </si>
  <si>
    <t xml:space="preserve">HOUSTON </t>
  </si>
  <si>
    <t>13.51</t>
  </si>
  <si>
    <t>GMGY</t>
  </si>
  <si>
    <t>GINGA MARGAY</t>
  </si>
  <si>
    <t>Occasional Survey</t>
  </si>
  <si>
    <t>Occasional</t>
  </si>
  <si>
    <t>Gangway load test</t>
  </si>
  <si>
    <t>13.53</t>
  </si>
  <si>
    <t>Survival Craft Embarkation Ladder</t>
  </si>
  <si>
    <t>19.3</t>
  </si>
  <si>
    <t>Deadweight (DWT) Statement for multiple loadlines</t>
  </si>
  <si>
    <t>07/16/24 - 01/16/25</t>
  </si>
  <si>
    <t>05/29/25 - 11/29/25</t>
  </si>
  <si>
    <t>11/14/25 - 05/14/26</t>
  </si>
  <si>
    <t>11/20/25 - 05/20/26</t>
  </si>
  <si>
    <t>11/15/24 - 05/15/25</t>
  </si>
  <si>
    <t>06/25/24 - 12/25/24</t>
  </si>
  <si>
    <t>01/16/25 - 07/16/25</t>
  </si>
  <si>
    <t>09/08/24 - 03/08/25</t>
  </si>
  <si>
    <t>02/16/25 - 08/16/25</t>
  </si>
  <si>
    <t>03/03/25 - 09/03/25</t>
  </si>
  <si>
    <t>12/12/25 - 06/12/26</t>
  </si>
  <si>
    <t>02/29/24 - 08/31/24</t>
  </si>
  <si>
    <t>03/22/24 - 09/22/24</t>
  </si>
  <si>
    <t>12/13/25 - 06/13/26</t>
  </si>
  <si>
    <t>Report ID</t>
  </si>
  <si>
    <t>Report Type</t>
  </si>
  <si>
    <t>Report Description</t>
  </si>
  <si>
    <t>Reviewer Name</t>
  </si>
  <si>
    <t>Report Time</t>
  </si>
  <si>
    <t>Raised from Inspection</t>
  </si>
  <si>
    <t>Inspection type</t>
  </si>
  <si>
    <t>DEF/BLDG/26/002</t>
  </si>
  <si>
    <t>Defect Report</t>
  </si>
  <si>
    <t>AE#1 AND #3 T/C EXHAUST GAS INLET DIGITAL TEMPERATURE SENSOR DEFECTIVE</t>
  </si>
  <si>
    <t>P B PONNAPPA</t>
  </si>
  <si>
    <t>DEF/COME/26/027</t>
  </si>
  <si>
    <t>Clearocean Mesquite</t>
  </si>
  <si>
    <t>Viscosity controller  showing wrong temperature reading in ECR and Local.</t>
  </si>
  <si>
    <t>MAHESH JAYARAMAN</t>
  </si>
  <si>
    <t>Review In Progress (Shore)</t>
  </si>
  <si>
    <t>DEF/COME/26/032</t>
  </si>
  <si>
    <t>Ballast pump #1 &amp; #2 discharge pressure transmitter fault.</t>
  </si>
  <si>
    <t>Re-Opened</t>
  </si>
  <si>
    <t>DEF/COME/26/028</t>
  </si>
  <si>
    <t>Fire  &amp; GS pump motor Drive end shaft damage.</t>
  </si>
  <si>
    <t>DEF/EVGL/26/001</t>
  </si>
  <si>
    <t>#1 HFO PURIFIER MOTOR BURNT</t>
  </si>
  <si>
    <t>KARTHIKNAIR R</t>
  </si>
  <si>
    <t>DEF/SMTO/26/001</t>
  </si>
  <si>
    <t>UM SHIMANTO</t>
  </si>
  <si>
    <t>F.W. Calorifier Heater Controller not Working</t>
  </si>
  <si>
    <t>NITIN SIDDHAYYA MATHAPATI</t>
  </si>
  <si>
    <t>DEF/MYLS/26/007</t>
  </si>
  <si>
    <t>SCBA set pressure indicator malfunction</t>
  </si>
  <si>
    <t>SUJITH SUNDARAN</t>
  </si>
  <si>
    <t>DEF/MYLS/26/001</t>
  </si>
  <si>
    <t xml:space="preserve">Volute cover of sewage transfer pump cracked </t>
  </si>
  <si>
    <t>DEF/FVTY/26/003</t>
  </si>
  <si>
    <t>NO.2 BWMS  UV TREATMENT UNIT TEMPERATURE SENSORE  BROKEN</t>
  </si>
  <si>
    <t>JUGALKISHOR TOSHNIWAL</t>
  </si>
  <si>
    <t>DEF/NMNR/26/001</t>
  </si>
  <si>
    <t>NORD MARINER</t>
  </si>
  <si>
    <t>Fixed Drilling machine PCB &amp; start stop switch malfunction</t>
  </si>
  <si>
    <t>DEF/PMAL/26/003</t>
  </si>
  <si>
    <t>Exhaust Gas Cleaning system</t>
  </si>
  <si>
    <t>SANTOSH SHARAD KULKARNI</t>
  </si>
  <si>
    <t>DEF/FTRI/26/004</t>
  </si>
  <si>
    <t>Multiple seawater pipelines in service have developed leakage due to corrosion and wastage. Temporary repairs have been carried out. Permanent renewal (fabrication + replacement) is planned in dry dock; materials are being arranged as per requisition.</t>
  </si>
  <si>
    <t>VIDYADHAR V. VAIDYA</t>
  </si>
  <si>
    <t>DEF/FTRI/26/003</t>
  </si>
  <si>
    <t xml:space="preserve">Vessel is not fitted with control air Dryer affecting various pneumatic solenoid valves fitted in the maneuvering control system due to ingress of oil and moisture. The dryer element shown in the E/R pipeline diagram is not actually fitted onboard on BOW GLORY. In the control airline, there is only one filter cum mist separator unit fitted which is not working as the drain mechanism is broken. 
The absence of a control air dryer resulted in moisture and oil ingress, causing malfunction of pneumatic components in the maneuvering system. Temporary corrective actions have reduced the risk to an acceptable level; however, installation of a dedicated control air dryer is essential to prevent recurrence and ensure long-term safety and reliability.
Requisition raised for control air dryer and the also  for other items required for the fabrication and fitment of same. in the next DRY DOCK. </t>
  </si>
  <si>
    <t>DEF/FTRI/26/001</t>
  </si>
  <si>
    <t xml:space="preserve">Minor hydraulic oil leakage observed from the upper side of the hydraulic ram cylinder (piston/rod seal area) of the Hose Handling Crane. Leakage is continuous but drop-wise in nature and remains within controlled limits during crane operation.
Condition Assessment- Leakage is not high-pressure spray. No loss of crane functionality observed.
No abnormal pressure fluctuation. Leakage is manageable with existing control measures
Immediate Control Measures Implemented- Temporary oil collection arrangement installed at ram cylinder to collect drop-wise leakage. Drip trays and absorbent pads positioned below leakage point. 
Scuppers plugged during crane operation to prevent any overboard discharge. Oil spill kit positioned near crane base. Area monitored during crane operation. Deck kept clean and dry after each operation. 
Crane operated at controlled speed and load.
Cause / Probable Cause - Wear of piston/rod seal and associated O-rings due to normal service life.  No spare seal available onboard.
Rectification Plan - Permanent rectification planned after receipt of spares. Vessel capable of Overhauling top portion of ram cylinder in situ, or carrying out full ram cylinder overhaul depending on condition during dismantling. Spares / Logistics- Requisition raised: REQ NO. FTRI26S0005. Additional seals, O-rngs, and back-up rings to be supplied as advised by Technical Superintendent.
Leakage is minor, controlled, and effectively mitigated through engineered and procedural measures. Equipment remains safe for limited operational use. Permanent repair planned upon receipt of spares.
RISK ASSESSMENT – Carried out risk assessment for Operation of Hose Handling Crane with minor, controlled hydraulic oil leakage pending permanent seal replacement.
</t>
  </si>
  <si>
    <t>DEF/SOLE/25/023</t>
  </si>
  <si>
    <t>Southern Leader</t>
  </si>
  <si>
    <t>Service air pressure reducing valve malfunction</t>
  </si>
  <si>
    <t>MADHAN SRIDHAR</t>
  </si>
  <si>
    <t>DEF/SENA/25/007</t>
  </si>
  <si>
    <t xml:space="preserve">Bridge Echo Sounder Log Recorder, E-mariner LAPTOP is Out of Order. So Echo sounder log  and E-mariner Application not opening, Laptop switching off itself within 5 min and battery not holding charge. It is connected direct to main power source ,but after switch on its automatically switch off within 5 min. </t>
  </si>
  <si>
    <t>SARAVANA KUMAR</t>
  </si>
  <si>
    <t>DEF/MYLS/25/008</t>
  </si>
  <si>
    <t>HP/LP Pressure Switch of Galley Air Con</t>
  </si>
  <si>
    <t>DEF/EUNA/25/003</t>
  </si>
  <si>
    <t>MAERSK EUNAPOLIS</t>
  </si>
  <si>
    <t>STBD AMP COLLECTOR SPACE HEATER.</t>
  </si>
  <si>
    <t>RAMU BOOPATHY</t>
  </si>
  <si>
    <t>DEF/MAOL/25/002</t>
  </si>
  <si>
    <t>ULSFO Starboard Side Level Pressure Transducer</t>
  </si>
  <si>
    <t>DEF/EVGR/25/009</t>
  </si>
  <si>
    <t>MAIN ENGINE RCU UNIT COMMUNICATION ALARM</t>
  </si>
  <si>
    <t>DEF/CASS/23/005</t>
  </si>
  <si>
    <t>UPPER STERN LIGHT WAS ALL ROUND LIGHT</t>
  </si>
  <si>
    <t>VINOTH KUMAR R</t>
  </si>
  <si>
    <t>DEF/OF/MSQA/26/028</t>
  </si>
  <si>
    <t>No.3 hold booby hatch cover is damaged</t>
  </si>
  <si>
    <t>VIR</t>
  </si>
  <si>
    <t>DEF/OF/MSQA/26/027</t>
  </si>
  <si>
    <t>No.2 crane safety platform is damaged</t>
  </si>
  <si>
    <t>DEF/OF/MSQA/26/005</t>
  </si>
  <si>
    <t>No.3 MAC Pressure switch diaphragm is damaged</t>
  </si>
  <si>
    <t>DEF/OF/MSQA/26/004</t>
  </si>
  <si>
    <t>No.2 AE SCR is not operational fully</t>
  </si>
  <si>
    <t>DEF/OF/CASS/25/053</t>
  </si>
  <si>
    <t>Old pilot ladder to be removed from vessel</t>
  </si>
  <si>
    <t>PARTHIBAN SAMMANDAN</t>
  </si>
  <si>
    <t>MANAGER VISIT</t>
  </si>
  <si>
    <t>DEF/OF/CASS/25/052</t>
  </si>
  <si>
    <t>Anchor wash valve to be eased out &amp; greased</t>
  </si>
  <si>
    <t>DEF/OF/CASS/25/051</t>
  </si>
  <si>
    <t>Hatch cover pin guiding plate to be checked &amp; rectified</t>
  </si>
  <si>
    <t>DEF/OF/MAMA/25/017</t>
  </si>
  <si>
    <t>Emergency generator starting PLC SOFTWARE NEED UPDATION</t>
  </si>
  <si>
    <t>ATHISH SOMAN</t>
  </si>
  <si>
    <t>DEF/OF/MAMA/25/016</t>
  </si>
  <si>
    <t>Life boat engine engaging lever position not matching. Need to consult makers</t>
  </si>
  <si>
    <t>DEF/OF/MAMA/25/015</t>
  </si>
  <si>
    <t>Few urgent spares need to be connected to vessel ( Flow sensor)</t>
  </si>
  <si>
    <t>DEF/OF/EVGL/25/038</t>
  </si>
  <si>
    <t>Engine room staff to strictly follow the companyËÇÖs PPE Matrix while on duty.</t>
  </si>
  <si>
    <t>DIXON DAVIS</t>
  </si>
  <si>
    <t>Report Id</t>
  </si>
  <si>
    <t>Inspection / Audit Type</t>
  </si>
  <si>
    <t>Inspecting Authority</t>
  </si>
  <si>
    <t>Reviewer</t>
  </si>
  <si>
    <t>Non-Conformities</t>
  </si>
  <si>
    <t>Observation</t>
  </si>
  <si>
    <t>Best Practices</t>
  </si>
  <si>
    <t>Suggestion for Improvement</t>
  </si>
  <si>
    <t>Defects</t>
  </si>
  <si>
    <t>Deviation</t>
  </si>
  <si>
    <t>Failure</t>
  </si>
  <si>
    <t>From Date</t>
  </si>
  <si>
    <t>To Date</t>
  </si>
  <si>
    <t>VIR/MSAL/2026/0015</t>
  </si>
  <si>
    <t>Technical Superintendent</t>
  </si>
  <si>
    <t>Ready for office review</t>
  </si>
  <si>
    <t>SENTHILVELAN J</t>
  </si>
  <si>
    <t>0/0</t>
  </si>
  <si>
    <t>16/16</t>
  </si>
  <si>
    <t>VIR/FVTY/2026/0012</t>
  </si>
  <si>
    <t>VINAYAK AGARWAL</t>
  </si>
  <si>
    <t>0/17</t>
  </si>
  <si>
    <t>2/2</t>
  </si>
  <si>
    <t>VIR/BPTR/2025/0006</t>
  </si>
  <si>
    <t>13/13</t>
  </si>
  <si>
    <t>11/11</t>
  </si>
  <si>
    <t>VIR/EVGE/2025/0013</t>
  </si>
  <si>
    <t>94/95</t>
  </si>
  <si>
    <t>VIR/NMNR/2025/0006</t>
  </si>
  <si>
    <t>7/7</t>
  </si>
  <si>
    <t>VIR/MSQA/2025/0004</t>
  </si>
  <si>
    <t>INS/BWLN/26/002</t>
  </si>
  <si>
    <t>CE TOV AUDIT</t>
  </si>
  <si>
    <t>UMESH SASLE</t>
  </si>
  <si>
    <t>INS/STIG/26/001</t>
  </si>
  <si>
    <t>MSTR NAV AUDIT</t>
  </si>
  <si>
    <t>MSTR</t>
  </si>
  <si>
    <t>0/1</t>
  </si>
  <si>
    <t>INS/SOLE/25/097</t>
  </si>
  <si>
    <t>INS/CASA/25/025</t>
  </si>
  <si>
    <t>INS/CASA/25/019</t>
  </si>
  <si>
    <t>COFF TOV AUDIT</t>
  </si>
  <si>
    <t>INS/BELE/25/012</t>
  </si>
  <si>
    <t>MSTR TOV AUDIT</t>
  </si>
  <si>
    <t>VARUN THATTE</t>
  </si>
  <si>
    <t>INS/BELE/25/010</t>
  </si>
  <si>
    <t>INS/OF/ELAL/25/009</t>
  </si>
  <si>
    <t>EXTERNAL ISM AUDIT</t>
  </si>
  <si>
    <t>INS/CASM/24/110</t>
  </si>
  <si>
    <t>INS/MBCN/24/004</t>
  </si>
  <si>
    <t>INS/MEGS/24/007</t>
  </si>
  <si>
    <t>INS/ACAL/24/030</t>
  </si>
  <si>
    <t>ILANGO KRISHNAN</t>
  </si>
  <si>
    <t>0/2</t>
  </si>
  <si>
    <t>INS/ACAL/23/008</t>
  </si>
  <si>
    <t>INS/STCO/23/001</t>
  </si>
  <si>
    <t>Stena Convoy</t>
  </si>
  <si>
    <t>INS/CASA/26/016</t>
  </si>
  <si>
    <t>SF-ENGINE WEEK 4</t>
  </si>
  <si>
    <t>INS/CASA/26/014</t>
  </si>
  <si>
    <t>SF-ENGINE WEEK 2</t>
  </si>
  <si>
    <t>INS/CASA/26/013</t>
  </si>
  <si>
    <t>SF-ENGINE WEEK 1</t>
  </si>
  <si>
    <t>INS/CASA/26/012</t>
  </si>
  <si>
    <t>SF-DECK WEEK 7</t>
  </si>
  <si>
    <t>INS/CASA/26/011</t>
  </si>
  <si>
    <t>SF-DECK WEEK 6</t>
  </si>
  <si>
    <t>INS/CASA/26/010</t>
  </si>
  <si>
    <t>SF-DECK WEEK 5</t>
  </si>
  <si>
    <t>INS/CASA/26/009</t>
  </si>
  <si>
    <t>SF-DECK WEEK 4</t>
  </si>
  <si>
    <t>INS/NOVN/26/022</t>
  </si>
  <si>
    <t>INS/NOVN/26/020</t>
  </si>
  <si>
    <t>SF-ENGINE WEEK 8</t>
  </si>
  <si>
    <t>Returned</t>
  </si>
  <si>
    <t>INS/OF/BEGA/26/001</t>
  </si>
  <si>
    <t>DIRECTOR VISIT</t>
  </si>
  <si>
    <t>INS/AFLO/26/014</t>
  </si>
  <si>
    <t>SF-ENGINE WEEK 5</t>
  </si>
  <si>
    <t>INS/AFLO/26/013</t>
  </si>
  <si>
    <t>INS/AFLO/26/011</t>
  </si>
  <si>
    <t>INS/CTBL/26/015</t>
  </si>
  <si>
    <t>SF-ENGINE WEEK 7</t>
  </si>
  <si>
    <t>DINESH KUMAR</t>
  </si>
  <si>
    <t>INS/ENEX/26/026</t>
  </si>
  <si>
    <t>SF-NAVIGATION &amp; GALLEY WEEK 12</t>
  </si>
  <si>
    <t>INS/ENEX/26/025</t>
  </si>
  <si>
    <t>SF-NAVIGATION &amp; GALLEY WEEK 11</t>
  </si>
  <si>
    <t>IA/MAOL/2025/0010</t>
  </si>
  <si>
    <t>ISM/MLC/ISO (9001/14001/50001/45001/27001)</t>
  </si>
  <si>
    <t>HAREESH BRARATH BALASUBRAMANIAN</t>
  </si>
  <si>
    <t>1/2</t>
  </si>
  <si>
    <t>INS/OF/CASS/24/008</t>
  </si>
  <si>
    <t>INS/OF/CASS/24/007</t>
  </si>
  <si>
    <t>0/5</t>
  </si>
  <si>
    <t>INS/OF/MAMA/25/001</t>
  </si>
  <si>
    <t>PIC Review in progress</t>
  </si>
  <si>
    <t>RUPAK C K</t>
  </si>
  <si>
    <t>0/3</t>
  </si>
  <si>
    <t>INS/OF/CASS/24/006</t>
  </si>
  <si>
    <t>INS/OF/EBOS/25/003</t>
  </si>
  <si>
    <t>MAERSK EL BOSQUE</t>
  </si>
  <si>
    <t>DIPAN SINGH</t>
  </si>
  <si>
    <t>4/5</t>
  </si>
  <si>
    <t>INS/AFLO/25/065</t>
  </si>
  <si>
    <t>INS/AFLO/25/063</t>
  </si>
  <si>
    <t>INS/AFLO/25/062</t>
  </si>
  <si>
    <t>INS/BLPD/25/010</t>
  </si>
  <si>
    <t>SIRE 2.0</t>
  </si>
  <si>
    <t>IMT</t>
  </si>
  <si>
    <t>ANIL KUMAR</t>
  </si>
  <si>
    <t>4/4</t>
  </si>
  <si>
    <t>1/1</t>
  </si>
  <si>
    <t>INS/AFLO/25/061</t>
  </si>
  <si>
    <t>INS/AFLO/25/059</t>
  </si>
  <si>
    <t>INS/AFLO/25/058</t>
  </si>
  <si>
    <t>INS/CASA/25/050</t>
  </si>
  <si>
    <t>INS/AFLO/25/055</t>
  </si>
  <si>
    <t>SF-DECK WEEK 10</t>
  </si>
  <si>
    <t>INS/AFLO/25/054</t>
  </si>
  <si>
    <t>INS/AFLO/25/053</t>
  </si>
  <si>
    <t>INS/AFLO/25/051</t>
  </si>
  <si>
    <t>INS/AFLO/25/050</t>
  </si>
  <si>
    <t>INS/AFLO/25/048</t>
  </si>
  <si>
    <t>INS/AFLO/25/047</t>
  </si>
  <si>
    <t>INS/AFLO/25/045</t>
  </si>
  <si>
    <t>INS/AFLO/25/044</t>
  </si>
  <si>
    <t>INS/AFLO/25/043</t>
  </si>
  <si>
    <t>SF-DECK WEEK 9</t>
  </si>
  <si>
    <t>INS/AFLO/25/042</t>
  </si>
  <si>
    <t>SF-DECK WEEK 8</t>
  </si>
  <si>
    <t>INS/AFLO/25/041</t>
  </si>
  <si>
    <t>INS/AFLO/25/040</t>
  </si>
  <si>
    <t>INS/AFLO/25/039</t>
  </si>
  <si>
    <t>INS/AFLO/25/038</t>
  </si>
  <si>
    <t>INS/AFLO/25/037</t>
  </si>
  <si>
    <t>SF-DECK WEEK 3</t>
  </si>
  <si>
    <t>INS/AFLO/25/036</t>
  </si>
  <si>
    <t>SF-DECK WEEK 2</t>
  </si>
  <si>
    <t>INS/AFLO/25/035</t>
  </si>
  <si>
    <t>SF-DECK WEEK 1</t>
  </si>
  <si>
    <t>INS/AFLO/25/034</t>
  </si>
  <si>
    <t>INS/AFLO/25/032</t>
  </si>
  <si>
    <t>FLAG STATE INSPECTION</t>
  </si>
  <si>
    <t>Malta</t>
  </si>
  <si>
    <t>INS/AFLO/25/031</t>
  </si>
  <si>
    <t>INS/AFLO/25/030</t>
  </si>
  <si>
    <t>INS/AFLO/25/029</t>
  </si>
  <si>
    <t>INS/AFLO/25/027</t>
  </si>
  <si>
    <t>INS/AFLO/25/026</t>
  </si>
  <si>
    <t>INS/AFLO/25/024</t>
  </si>
  <si>
    <t>INS/AFLO/25/023</t>
  </si>
  <si>
    <t>INS/AFLO/25/022</t>
  </si>
  <si>
    <t>INS/AFLO/25/021</t>
  </si>
  <si>
    <t>INS/AFLO/25/020</t>
  </si>
  <si>
    <t>INS/AFLO/25/019</t>
  </si>
  <si>
    <t>INS/AFLO/25/017</t>
  </si>
  <si>
    <t>INS/AFLO/25/016</t>
  </si>
  <si>
    <t>INS/ELPA/25/027</t>
  </si>
  <si>
    <t>INS/ELPA/25/026</t>
  </si>
  <si>
    <t>INS/CASA/25/023</t>
  </si>
  <si>
    <t>INS/CASA/25/021</t>
  </si>
  <si>
    <t>INS/CASA/25/018</t>
  </si>
  <si>
    <t>INS/CASA/25/017</t>
  </si>
  <si>
    <t>INS/CASA/25/016</t>
  </si>
  <si>
    <t>INS/OF/MEMD/25/001</t>
  </si>
  <si>
    <t>CHARTERERS INSPECTION</t>
  </si>
  <si>
    <t>Maersk</t>
  </si>
  <si>
    <t>1/4</t>
  </si>
  <si>
    <t>INS/CASA/25/014</t>
  </si>
  <si>
    <t>INS/CASA/25/013</t>
  </si>
  <si>
    <t>INS/BELE/25/005</t>
  </si>
  <si>
    <t>PSC INSPECTION</t>
  </si>
  <si>
    <t>Tokyo MoU</t>
  </si>
  <si>
    <t>INS/AFLO/25/007</t>
  </si>
  <si>
    <t>INS/AFLO/25/006</t>
  </si>
  <si>
    <t>INS/AFLO/25/005</t>
  </si>
  <si>
    <t>INS/AFLO/25/003</t>
  </si>
  <si>
    <t>INS/AFLO/25/002</t>
  </si>
  <si>
    <t>INS/AFLO/24/130</t>
  </si>
  <si>
    <t>INS/BRPI/24/097</t>
  </si>
  <si>
    <t>Bright Pioneer</t>
  </si>
  <si>
    <t>INS/BRPI/24/095</t>
  </si>
  <si>
    <t>INS/MBCN/24/001</t>
  </si>
  <si>
    <t>Flag</t>
  </si>
  <si>
    <t>INS/CASS/24/038</t>
  </si>
  <si>
    <t>INS/CASS/24/037</t>
  </si>
  <si>
    <t>INS/CASS/24/036</t>
  </si>
  <si>
    <t>INS/CASS/24/035</t>
  </si>
  <si>
    <t>INS/MEGS/24/002</t>
  </si>
  <si>
    <t>Vina del Mar</t>
  </si>
  <si>
    <t>INS/BPTR/23/001</t>
  </si>
  <si>
    <t>SIRE INSPECTION</t>
  </si>
  <si>
    <t>Idemitsu</t>
  </si>
  <si>
    <t>ASHISH KUMAR</t>
  </si>
  <si>
    <t>INS/STCR/23/009</t>
  </si>
  <si>
    <t>Stena Conductor</t>
  </si>
  <si>
    <t>INS/OF/CASA/23/009</t>
  </si>
  <si>
    <t>5/5</t>
  </si>
  <si>
    <t>INS/CASS/22/009</t>
  </si>
  <si>
    <t>VESSEL INSPECTION REPORT</t>
  </si>
  <si>
    <t>INS/CASS/22/007</t>
  </si>
  <si>
    <t>Manoj Padmanabhan</t>
  </si>
  <si>
    <t xml:space="preserve">SPPL Fleet - A </t>
  </si>
  <si>
    <t>Vinoth Kumar R</t>
  </si>
  <si>
    <t>Satish Kumar Mishra</t>
  </si>
  <si>
    <t>SPPL Fleet - C</t>
  </si>
  <si>
    <t>Samir Magdum</t>
  </si>
  <si>
    <t>SPPL Fleet - E</t>
  </si>
  <si>
    <t>Saravana Kumar Sundar</t>
  </si>
  <si>
    <t>Praveen Kumar</t>
  </si>
  <si>
    <t>SPPL Fleet - G</t>
  </si>
  <si>
    <t xml:space="preserve">Sujith Sundaran </t>
  </si>
  <si>
    <t>SPPL Fleet - B</t>
  </si>
  <si>
    <t>Rupak Chundayil Kalam</t>
  </si>
  <si>
    <t>Ramu Boopathy</t>
  </si>
  <si>
    <t>Umesh Sasle</t>
  </si>
  <si>
    <t>SPPL Fleet - F</t>
  </si>
  <si>
    <t>Senthilvelan</t>
  </si>
  <si>
    <t>Adarsh Munshi</t>
  </si>
  <si>
    <t>Neelakandan Sethupathy</t>
  </si>
  <si>
    <t>SPPL Fleet - D</t>
  </si>
  <si>
    <t>Jugal Toshniwal /Vinayak Agarwal</t>
  </si>
  <si>
    <t>Jayaraman Mahesh</t>
  </si>
  <si>
    <t>Madhan Sridhar</t>
  </si>
  <si>
    <t>Karthik Nair</t>
  </si>
  <si>
    <t>Shivam Sawant/Ponnappa</t>
  </si>
  <si>
    <t>Nitin Mathapati</t>
  </si>
  <si>
    <t>Santosh Kulkarni/Ponnappa</t>
  </si>
  <si>
    <t>Vidyadhar Vaidya</t>
  </si>
  <si>
    <t>Manikandan Ayyappan</t>
  </si>
  <si>
    <t>Santosh Kulkarni</t>
  </si>
  <si>
    <t>Wisco Adventure</t>
  </si>
  <si>
    <t>OOCL Durban</t>
  </si>
  <si>
    <t>Honor Galaxy</t>
  </si>
  <si>
    <t>Fairchem Loyalty</t>
  </si>
  <si>
    <t>Maersk Everglades</t>
  </si>
  <si>
    <t>Maersk Glacier</t>
  </si>
  <si>
    <t>Maersk Olympic</t>
  </si>
  <si>
    <t>Maersk Redwood</t>
  </si>
  <si>
    <t>Bow Ocelot</t>
  </si>
  <si>
    <t>Shivam Sawant</t>
  </si>
  <si>
    <t>Beagle</t>
  </si>
  <si>
    <t>Bulldog</t>
  </si>
  <si>
    <t>Ginga Endurance</t>
  </si>
  <si>
    <t>Bow Leopard</t>
  </si>
  <si>
    <t>Tsukuba Galaxy</t>
  </si>
  <si>
    <t>Maersk Yellowstone</t>
  </si>
  <si>
    <t>Maersk El Banco</t>
  </si>
  <si>
    <t>Bow Glory</t>
  </si>
  <si>
    <t>Pusaka Malaka</t>
  </si>
  <si>
    <t>Bow Tiger</t>
  </si>
  <si>
    <t>Maersk El Palomar</t>
  </si>
  <si>
    <t>OOCL Brazil</t>
  </si>
  <si>
    <t>Bow Lion</t>
  </si>
  <si>
    <t>Rokko Galxy</t>
  </si>
  <si>
    <t>Jugal Toshniwal /Nitin</t>
  </si>
  <si>
    <t>Bow Jaguar</t>
  </si>
  <si>
    <t>Maersk El Bosque</t>
  </si>
  <si>
    <t>UM Yoshino</t>
  </si>
  <si>
    <t>Maersk Sequoia</t>
  </si>
  <si>
    <t>Blue Butterfly</t>
  </si>
  <si>
    <t>Nord Valhalla</t>
  </si>
  <si>
    <t>Bow Lynx</t>
  </si>
  <si>
    <t>Bow Mercury</t>
  </si>
  <si>
    <t>Ginga Fortitude</t>
  </si>
  <si>
    <t>Maersk Mammoth</t>
  </si>
  <si>
    <t>SPPL OVERDUE REPORTS</t>
  </si>
  <si>
    <t>Module</t>
  </si>
  <si>
    <t>Category</t>
  </si>
  <si>
    <t xml:space="preserve">Week 8 summary </t>
  </si>
  <si>
    <t>week 7 summary</t>
  </si>
  <si>
    <t>Week 6 summary</t>
  </si>
  <si>
    <t xml:space="preserve">week 5 summary </t>
  </si>
  <si>
    <t xml:space="preserve"> Week 4 Summary</t>
  </si>
  <si>
    <t xml:space="preserve"> Week 3 Summary</t>
  </si>
  <si>
    <t xml:space="preserve"> Week 2 Summary</t>
  </si>
  <si>
    <t xml:space="preserve"> Week 1 Summary</t>
  </si>
  <si>
    <t>As 27th may 2026</t>
  </si>
  <si>
    <t>As 20th may 2026</t>
  </si>
  <si>
    <t>As 13th may 2026</t>
  </si>
  <si>
    <t>As 6th may 2026</t>
  </si>
  <si>
    <t>As 29th  Aprl 2026</t>
  </si>
  <si>
    <t>As 22nd Aprl 2026</t>
  </si>
  <si>
    <t>As 15th Aprl 2026</t>
  </si>
  <si>
    <t>As of 08th Aprl 2026</t>
  </si>
  <si>
    <t>PMS</t>
  </si>
  <si>
    <t>Critical Jobs &gt; 10 days Overdue</t>
  </si>
  <si>
    <t>Critical Jobs &gt;200 Hours Overdue</t>
  </si>
  <si>
    <t>Nil</t>
  </si>
  <si>
    <t xml:space="preserve">Nil </t>
  </si>
  <si>
    <t>Non Critical Jobs &gt; 1 Month Overdue</t>
  </si>
  <si>
    <t>Non Critical Jobs &gt; 500 hours Overdue</t>
  </si>
  <si>
    <t>Counter Not Updated</t>
  </si>
  <si>
    <t>Critical Spares lessthan Min Stock</t>
  </si>
  <si>
    <t>WO's Pending TSI Approval</t>
  </si>
  <si>
    <t>Ceriticates</t>
  </si>
  <si>
    <t>Expired Certificates</t>
  </si>
  <si>
    <t>Pending Approval Ceritificates</t>
  </si>
  <si>
    <t>Overdue Surveys</t>
  </si>
  <si>
    <t>H &amp; M</t>
  </si>
  <si>
    <t>Vir</t>
  </si>
  <si>
    <t>Vir Defects </t>
  </si>
  <si>
    <t>VIR Main reports</t>
  </si>
  <si>
    <t>Audit Reports</t>
  </si>
  <si>
    <t>IA/ISPS/ISM Reports/Other Audits</t>
  </si>
  <si>
    <t>Inspection Reports</t>
  </si>
  <si>
    <t>All Inspections</t>
  </si>
  <si>
    <t>Week9 Summary</t>
  </si>
  <si>
    <t>Back to summary</t>
  </si>
  <si>
    <t>Back to Summary</t>
  </si>
  <si>
    <t>As 17th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</si>
</sst>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hh:mm:ss;@"/>
    <numFmt numFmtId="165" formatCode="#,##0.#####"/>
    <numFmt numFmtId="166" formatCode="#,##0.00###"/>
  </numFmts>
  <fonts count="10" x14ac:knownFonts="1">
    <font>
      <sz val="11"/>
      <color theme="1"/>
      <name val="Aptos Narrow"/>
      <family val="2"/>
      <scheme val="minor"/>
    </font>
    <font>
      <b/>
      <sz val="11"/>
      <color theme="1"/>
      <name val="Aptos Narrow"/>
      <family val="2"/>
      <scheme val="minor"/>
    </font>
    <font>
      <b/>
      <sz val="9"/>
      <color theme="3"/>
      <name val="Calibri"/>
      <family val="2"/>
    </font>
    <font>
      <sz val="11"/>
      <color theme="3"/>
      <name val="Aptos Narrow"/>
      <family val="2"/>
      <scheme val="minor"/>
    </font>
    <font>
      <sz val="9"/>
      <name val="Calibri"/>
      <family val="2"/>
    </font>
    <font>
      <sz val="9"/>
      <color theme="1"/>
      <name val="Calibri"/>
      <family val="2"/>
    </font>
    <font>
      <u/>
      <sz val="11"/>
      <color theme="10"/>
      <name val="Aptos Narrow"/>
      <family val="2"/>
      <scheme val="minor"/>
    </font>
    <font>
      <b/>
      <sz val="9"/>
      <color theme="1"/>
      <name val="Calibri"/>
      <family val="2"/>
    </font>
    <font>
      <sz val="11"/>
      <color theme="10"/>
      <name val="Aptos Narrow"/>
      <family val="2"/>
      <scheme val="minor"/>
    </font>
    <font>
      <sz val="9"/>
      <color rgb="FF37797B"/>
      <name val="Calibri"/>
      <family val="2"/>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s>
  <borders count="2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97">
    <xf numFmtId="0" fontId="0" fillId="0" borderId="0" xfId="0"/>
    <xf numFmtId="49" fontId="2" fillId="2" borderId="1" xfId="0" applyNumberFormat="1" applyFont="1" applyFill="1" applyBorder="1"/>
    <xf numFmtId="49" fontId="2" fillId="2" borderId="2" xfId="0" applyNumberFormat="1" applyFont="1" applyFill="1" applyBorder="1"/>
    <xf numFmtId="49" fontId="2" fillId="2" borderId="3" xfId="0" applyNumberFormat="1" applyFont="1" applyFill="1" applyBorder="1"/>
    <xf numFmtId="0" fontId="3" fillId="2" borderId="0" xfId="0" applyFont="1" applyFill="1"/>
    <xf numFmtId="49" fontId="4" fillId="3" borderId="4" xfId="0" applyNumberFormat="1" applyFont="1" applyFill="1" applyBorder="1"/>
    <xf numFmtId="49" fontId="4" fillId="3" borderId="5" xfId="0" applyNumberFormat="1" applyFont="1" applyFill="1" applyBorder="1"/>
    <xf numFmtId="14" fontId="4" fillId="3" borderId="5" xfId="0" applyNumberFormat="1" applyFont="1" applyFill="1" applyBorder="1"/>
    <xf numFmtId="4" fontId="4" fillId="3" borderId="5" xfId="0" applyNumberFormat="1" applyFont="1" applyFill="1" applyBorder="1"/>
    <xf numFmtId="1" fontId="4" fillId="4" borderId="5" xfId="0" applyNumberFormat="1" applyFont="1" applyFill="1" applyBorder="1"/>
    <xf numFmtId="1" fontId="4" fillId="3" borderId="5" xfId="0" applyNumberFormat="1" applyFont="1" applyFill="1" applyBorder="1"/>
    <xf numFmtId="164" fontId="4" fillId="3" borderId="5" xfId="0" applyNumberFormat="1" applyFont="1" applyFill="1" applyBorder="1"/>
    <xf numFmtId="4" fontId="4" fillId="3" borderId="6" xfId="0" applyNumberFormat="1" applyFont="1" applyFill="1" applyBorder="1"/>
    <xf numFmtId="0" fontId="0" fillId="4" borderId="0" xfId="0" applyFill="1"/>
    <xf numFmtId="4" fontId="4" fillId="4" borderId="5" xfId="0" applyNumberFormat="1" applyFont="1" applyFill="1" applyBorder="1"/>
    <xf numFmtId="14" fontId="4" fillId="4" borderId="5" xfId="0" applyNumberFormat="1" applyFont="1" applyFill="1" applyBorder="1"/>
    <xf numFmtId="165" fontId="4" fillId="3" borderId="5" xfId="0" applyNumberFormat="1" applyFont="1" applyFill="1" applyBorder="1"/>
    <xf numFmtId="165" fontId="4" fillId="4" borderId="5" xfId="0" applyNumberFormat="1" applyFont="1" applyFill="1" applyBorder="1"/>
    <xf numFmtId="166" fontId="4" fillId="3" borderId="5" xfId="0" applyNumberFormat="1" applyFont="1" applyFill="1" applyBorder="1"/>
    <xf numFmtId="1" fontId="4" fillId="3" borderId="6" xfId="0" applyNumberFormat="1" applyFont="1" applyFill="1" applyBorder="1"/>
    <xf numFmtId="49" fontId="4" fillId="3" borderId="7" xfId="0" applyNumberFormat="1" applyFont="1" applyFill="1" applyBorder="1"/>
    <xf numFmtId="49" fontId="4" fillId="3" borderId="8" xfId="0" applyNumberFormat="1" applyFont="1" applyFill="1" applyBorder="1"/>
    <xf numFmtId="165" fontId="4" fillId="3" borderId="8" xfId="0" applyNumberFormat="1" applyFont="1" applyFill="1" applyBorder="1"/>
    <xf numFmtId="165" fontId="4" fillId="4" borderId="8" xfId="0" applyNumberFormat="1" applyFont="1" applyFill="1" applyBorder="1"/>
    <xf numFmtId="1" fontId="4" fillId="3" borderId="8" xfId="0" applyNumberFormat="1" applyFont="1" applyFill="1" applyBorder="1"/>
    <xf numFmtId="166" fontId="4" fillId="3" borderId="8" xfId="0" applyNumberFormat="1" applyFont="1" applyFill="1" applyBorder="1"/>
    <xf numFmtId="1" fontId="4" fillId="3" borderId="9" xfId="0" applyNumberFormat="1" applyFont="1" applyFill="1" applyBorder="1"/>
    <xf numFmtId="49" fontId="4" fillId="4" borderId="5" xfId="0" applyNumberFormat="1" applyFont="1" applyFill="1" applyBorder="1"/>
    <xf numFmtId="49" fontId="4" fillId="3" borderId="6" xfId="0" applyNumberFormat="1" applyFont="1" applyFill="1" applyBorder="1"/>
    <xf numFmtId="4" fontId="4" fillId="3" borderId="8" xfId="0" applyNumberFormat="1" applyFont="1" applyFill="1" applyBorder="1"/>
    <xf numFmtId="164" fontId="4" fillId="3" borderId="8" xfId="0" applyNumberFormat="1" applyFont="1" applyFill="1" applyBorder="1"/>
    <xf numFmtId="49" fontId="4" fillId="4" borderId="8" xfId="0" applyNumberFormat="1" applyFont="1" applyFill="1" applyBorder="1"/>
    <xf numFmtId="14" fontId="4" fillId="3" borderId="8" xfId="0" applyNumberFormat="1" applyFont="1" applyFill="1" applyBorder="1"/>
    <xf numFmtId="49" fontId="4" fillId="3" borderId="9" xfId="0" applyNumberFormat="1" applyFont="1" applyFill="1" applyBorder="1"/>
    <xf numFmtId="14" fontId="4" fillId="3" borderId="6" xfId="0" applyNumberFormat="1" applyFont="1" applyFill="1" applyBorder="1"/>
    <xf numFmtId="14" fontId="4" fillId="3" borderId="9" xfId="0" applyNumberFormat="1" applyFont="1" applyFill="1" applyBorder="1"/>
    <xf numFmtId="49" fontId="2" fillId="2" borderId="5" xfId="0" applyNumberFormat="1" applyFont="1" applyFill="1" applyBorder="1"/>
    <xf numFmtId="49" fontId="5" fillId="3" borderId="5" xfId="0" applyNumberFormat="1" applyFont="1" applyFill="1" applyBorder="1"/>
    <xf numFmtId="164" fontId="5" fillId="3" borderId="5" xfId="0" applyNumberFormat="1" applyFont="1" applyFill="1" applyBorder="1"/>
    <xf numFmtId="49" fontId="5" fillId="4" borderId="5" xfId="0" applyNumberFormat="1" applyFont="1" applyFill="1" applyBorder="1"/>
    <xf numFmtId="1" fontId="5" fillId="3" borderId="5" xfId="0" applyNumberFormat="1" applyFont="1" applyFill="1" applyBorder="1"/>
    <xf numFmtId="14" fontId="5" fillId="3" borderId="5" xfId="0" applyNumberFormat="1" applyFont="1" applyFill="1" applyBorder="1"/>
    <xf numFmtId="2" fontId="4" fillId="3" borderId="5" xfId="0" applyNumberFormat="1" applyFont="1" applyFill="1" applyBorder="1"/>
    <xf numFmtId="2" fontId="4" fillId="3" borderId="4" xfId="0" applyNumberFormat="1" applyFont="1" applyFill="1" applyBorder="1"/>
    <xf numFmtId="2" fontId="5" fillId="3" borderId="5" xfId="0" applyNumberFormat="1" applyFont="1" applyFill="1" applyBorder="1"/>
    <xf numFmtId="0" fontId="1" fillId="4" borderId="5" xfId="0" applyFont="1" applyFill="1" applyBorder="1"/>
    <xf numFmtId="0" fontId="5" fillId="4" borderId="5" xfId="0" applyFont="1" applyFill="1" applyBorder="1" applyAlignment="1">
      <alignment horizontal="center"/>
    </xf>
    <xf numFmtId="0" fontId="6" fillId="3" borderId="0" xfId="1" applyFill="1" applyAlignment="1">
      <alignment horizontal="center"/>
    </xf>
    <xf numFmtId="0" fontId="6" fillId="0" borderId="0" xfId="1" applyAlignment="1">
      <alignment horizontal="center"/>
    </xf>
    <xf numFmtId="0" fontId="6" fillId="0" borderId="0" xfId="1"/>
    <xf numFmtId="0" fontId="5" fillId="4" borderId="5" xfId="0" applyFont="1" applyFill="1" applyBorder="1" applyAlignment="1">
      <alignment horizontal="center" vertical="center"/>
    </xf>
    <xf numFmtId="0" fontId="7" fillId="0" borderId="5" xfId="0" applyFont="1" applyBorder="1" applyAlignment="1">
      <alignment horizontal="center" vertical="center" wrapText="1"/>
    </xf>
    <xf numFmtId="0" fontId="5" fillId="0" borderId="5" xfId="0" applyFont="1" applyBorder="1" applyAlignment="1">
      <alignment horizontal="center" vertical="center" wrapText="1"/>
    </xf>
    <xf numFmtId="0" fontId="8" fillId="0" borderId="5" xfId="1" applyFont="1" applyBorder="1" applyAlignment="1">
      <alignment horizontal="center" vertical="center" wrapText="1"/>
    </xf>
    <xf numFmtId="0" fontId="9" fillId="0" borderId="5" xfId="0" applyFont="1" applyBorder="1" applyAlignment="1">
      <alignment horizontal="center" vertical="center" wrapText="1"/>
    </xf>
    <xf numFmtId="0" fontId="0" fillId="0" borderId="0" xfId="0"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8"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11" xfId="0" applyFont="1" applyBorder="1" applyAlignment="1">
      <alignment vertical="center" wrapText="1"/>
    </xf>
    <xf numFmtId="0" fontId="8" fillId="0" borderId="12" xfId="1" applyFont="1" applyBorder="1" applyAlignment="1">
      <alignment horizontal="center" vertical="center" wrapText="1"/>
    </xf>
    <xf numFmtId="0" fontId="5"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vertical="center" wrapText="1"/>
    </xf>
    <xf numFmtId="0" fontId="5" fillId="0" borderId="15" xfId="0" applyFont="1" applyBorder="1" applyAlignment="1">
      <alignment horizontal="center" vertical="center" wrapText="1"/>
    </xf>
    <xf numFmtId="0" fontId="5" fillId="0" borderId="16" xfId="0" applyFont="1" applyBorder="1" applyAlignment="1">
      <alignment vertical="center" wrapText="1"/>
    </xf>
    <xf numFmtId="0" fontId="8" fillId="0" borderId="17" xfId="1" applyFont="1" applyBorder="1" applyAlignment="1">
      <alignment horizontal="center" vertical="center" wrapText="1"/>
    </xf>
    <xf numFmtId="0" fontId="5" fillId="0" borderId="17" xfId="0" applyFont="1" applyBorder="1" applyAlignment="1">
      <alignment horizontal="center" vertical="center" wrapText="1"/>
    </xf>
    <xf numFmtId="0" fontId="9"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7" xfId="0" applyFont="1" applyBorder="1" applyAlignment="1">
      <alignment vertical="center" wrapText="1"/>
    </xf>
    <xf numFmtId="0" fontId="5" fillId="0" borderId="3" xfId="0" applyFont="1" applyBorder="1" applyAlignment="1">
      <alignment vertical="center" wrapText="1"/>
    </xf>
    <xf numFmtId="0" fontId="7" fillId="0" borderId="10" xfId="0" applyFont="1" applyBorder="1" applyAlignment="1">
      <alignment vertical="center" wrapText="1"/>
    </xf>
    <xf numFmtId="0" fontId="5" fillId="0" borderId="1" xfId="0" applyFont="1" applyBorder="1" applyAlignment="1">
      <alignment vertical="center" wrapText="1"/>
    </xf>
    <xf numFmtId="0" fontId="5" fillId="0" borderId="9"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horizontal="center" vertical="center" wrapText="1"/>
    </xf>
    <xf numFmtId="0" fontId="5" fillId="0" borderId="21" xfId="0" applyFont="1" applyBorder="1" applyAlignment="1">
      <alignment vertical="center" wrapText="1"/>
    </xf>
    <xf numFmtId="0" fontId="8" fillId="0" borderId="22" xfId="1" applyFont="1" applyBorder="1" applyAlignment="1">
      <alignment horizontal="center" vertical="center" wrapText="1"/>
    </xf>
    <xf numFmtId="0" fontId="5" fillId="0" borderId="22" xfId="0" applyFont="1" applyBorder="1" applyAlignment="1">
      <alignment horizontal="center" vertical="center" wrapText="1"/>
    </xf>
    <xf numFmtId="0" fontId="9"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8" fillId="0" borderId="2" xfId="1" applyFont="1" applyBorder="1" applyAlignment="1">
      <alignment horizontal="center" vertical="center" wrapText="1"/>
    </xf>
    <xf numFmtId="0" fontId="9" fillId="0" borderId="2" xfId="0" applyFont="1" applyBorder="1" applyAlignment="1">
      <alignment horizontal="center" vertical="center" wrapText="1"/>
    </xf>
    <xf numFmtId="0" fontId="8" fillId="0" borderId="24" xfId="1" applyFont="1" applyBorder="1" applyAlignment="1">
      <alignment horizontal="center" vertical="center" wrapText="1"/>
    </xf>
    <xf numFmtId="0" fontId="8" fillId="0" borderId="24" xfId="1" applyFont="1" applyBorder="1" applyAlignment="1">
      <alignment horizontal="center" vertical="center"/>
    </xf>
    <xf numFmtId="0" fontId="6" fillId="5" borderId="12" xfId="1" applyFill="1" applyBorder="1" applyAlignment="1">
      <alignment horizontal="center" vertical="center" wrapText="1"/>
    </xf>
    <xf numFmtId="0" fontId="6" fillId="5" borderId="5" xfId="1" applyFill="1" applyBorder="1" applyAlignment="1">
      <alignment horizontal="center" vertical="center" wrapText="1"/>
    </xf>
    <xf numFmtId="0" fontId="6" fillId="5" borderId="17" xfId="1" applyFill="1" applyBorder="1" applyAlignment="1">
      <alignment horizontal="center" vertical="center" wrapText="1"/>
    </xf>
    <xf numFmtId="0" fontId="6" fillId="5" borderId="22" xfId="1" applyFill="1" applyBorder="1" applyAlignment="1">
      <alignment horizontal="center" vertical="center" wrapText="1"/>
    </xf>
    <xf numFmtId="0" fontId="6" fillId="5" borderId="24" xfId="1" applyFill="1" applyBorder="1" applyAlignment="1">
      <alignment horizontal="center" vertical="center" wrapText="1"/>
    </xf>
    <xf numFmtId="0" fontId="6" fillId="5" borderId="2" xfId="1" applyFill="1" applyBorder="1" applyAlignment="1">
      <alignment horizontal="center" vertical="center" wrapText="1"/>
    </xf>
    <xf numFmtId="0" fontId="7" fillId="0" borderId="5" xfId="0" applyFont="1" applyBorder="1" applyAlignment="1">
      <alignment vertical="center" wrapText="1"/>
    </xf>
    <xf numFmtId="0" fontId="7" fillId="0" borderId="8" xfId="0" applyFont="1" applyBorder="1" applyAlignment="1">
      <alignment vertical="center" wrapText="1"/>
    </xf>
  </cellXfs>
  <cellStyles count="2">
    <cellStyle name="Hyperlink" xfId="1" builtinId="8"/>
    <cellStyle name="Normal" xfId="0" builtinId="0"/>
  </cellStyles>
  <dxfs count="134">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dxf>
    <dxf>
      <border>
        <bottom style="thin">
          <color indexed="64"/>
        </bottom>
      </border>
    </dxf>
    <dxf>
      <font>
        <strike val="0"/>
        <outline val="0"/>
        <shadow val="0"/>
        <u val="none"/>
        <vertAlign val="baseline"/>
        <sz val="9"/>
        <color theme="3"/>
        <name val="Calibri"/>
        <family val="2"/>
        <scheme val="none"/>
      </font>
      <fill>
        <patternFill>
          <fgColor indexed="64"/>
          <bgColor theme="3" tint="0.749992370372631"/>
        </patternFill>
      </fill>
      <border diagonalUp="0" diagonalDown="0" outline="0">
        <left style="thin">
          <color indexed="64"/>
        </left>
        <right style="thin">
          <color indexed="64"/>
        </right>
        <top/>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dxf>
    <dxf>
      <border>
        <bottom style="thin">
          <color indexed="64"/>
        </bottom>
      </border>
    </dxf>
    <dxf>
      <font>
        <strike val="0"/>
        <outline val="0"/>
        <shadow val="0"/>
        <u val="none"/>
        <vertAlign val="baseline"/>
        <sz val="9"/>
        <color theme="3"/>
        <name val="Calibri"/>
        <family val="2"/>
        <scheme val="none"/>
      </font>
      <fill>
        <patternFill>
          <fgColor indexed="64"/>
          <bgColor theme="3" tint="0.74999237037263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rgb="FFFFFF0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Calibri"/>
        <family val="2"/>
        <scheme val="none"/>
      </font>
      <fill>
        <patternFill>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fgColor indexed="64"/>
          <bgColor theme="0"/>
        </patternFill>
      </fill>
    </dxf>
    <dxf>
      <border>
        <bottom style="thin">
          <color indexed="64"/>
        </bottom>
      </border>
    </dxf>
    <dxf>
      <font>
        <strike val="0"/>
        <outline val="0"/>
        <shadow val="0"/>
        <u val="none"/>
        <vertAlign val="baseline"/>
        <sz val="9"/>
        <color theme="3"/>
        <name val="Calibri"/>
        <family val="2"/>
        <scheme val="none"/>
      </font>
      <fill>
        <patternFill patternType="solid">
          <fgColor indexed="64"/>
          <bgColor theme="3" tint="0.74999237037263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dxf>
    <dxf>
      <border>
        <bottom style="thin">
          <color indexed="64"/>
        </bottom>
      </border>
    </dxf>
    <dxf>
      <font>
        <strike val="0"/>
        <outline val="0"/>
        <shadow val="0"/>
        <u val="none"/>
        <vertAlign val="baseline"/>
        <sz val="9"/>
        <color theme="3"/>
        <name val="Calibri"/>
        <family val="2"/>
        <scheme val="none"/>
      </font>
      <fill>
        <patternFill>
          <fgColor indexed="64"/>
          <bgColor theme="3" tint="0.749992370372631"/>
        </patternFill>
      </fill>
      <border diagonalUp="0" diagonalDown="0" outline="0">
        <left style="thin">
          <color indexed="64"/>
        </left>
        <right style="thin">
          <color indexed="64"/>
        </right>
        <top/>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rgb="FFFFFF0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auto="1"/>
        <name val="Calibri"/>
        <family val="2"/>
        <scheme val="none"/>
      </font>
      <fill>
        <patternFill patternType="solid">
          <fgColor indexed="64"/>
          <bgColor theme="0"/>
        </patternFill>
      </fill>
    </dxf>
    <dxf>
      <border>
        <bottom style="thin">
          <color indexed="64"/>
        </bottom>
      </border>
    </dxf>
    <dxf>
      <font>
        <strike val="0"/>
        <outline val="0"/>
        <shadow val="0"/>
        <u val="none"/>
        <vertAlign val="baseline"/>
        <sz val="9"/>
        <color theme="3"/>
        <name val="Calibri"/>
        <family val="2"/>
        <scheme val="none"/>
      </font>
      <fill>
        <patternFill>
          <fgColor indexed="64"/>
          <bgColor theme="3" tint="0.74999237037263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ynergycloud-my.sharepoint.com/personal/anusha_synergyship_com/Documents/Documents/Desktop/SPPL%20Weekly%20Status%20Reports/Sppl%20Pendings%20(Sampling%20Chart)%20as%20on%2015th%20April%202026%20along%20with%20graph%20and%20summary..xlsx" TargetMode="External"/><Relationship Id="rId1" Type="http://schemas.openxmlformats.org/officeDocument/2006/relationships/externalLinkPath" Target="https://synergycloud-my.sharepoint.com/personal/anusha_synergyship_com/Documents/Documents/Desktop/SPPL%20Weekly%20Status%20Reports/Sppl%20Pendings%20(Sampling%20Chart)%20as%20on%2015th%20April%202026%20along%20with%20graph%20and%20summa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ynergycloud-my.sharepoint.com/personal/udayasri_n_synergyship_com/Documents/Desktop/SPPL%20OVERDUE%20LIST/SPPL%20Fleet%20Distribution%20dated%20%201ST%20April%203%20(2).xlsx" TargetMode="External"/><Relationship Id="rId1" Type="http://schemas.openxmlformats.org/officeDocument/2006/relationships/externalLinkPath" Target="https://synergycloud-my.sharepoint.com/personal/anusha_synergyship_com/Documents/Documents/Desktop/SPPL%20Weekly%20Status%20Reports/SPPL%20Fleet%20Distribution%20dated%20%201ST%20April%203%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
      <sheetName val="Summary-Index"/>
      <sheetName val="Critical Jobs &gt; 10 Days"/>
      <sheetName val=" Critical Jobs &gt; 200 Hrs"/>
      <sheetName val="Non Critical Jobs &gt; 1 Month"/>
      <sheetName val="Non-Critical Jobs &gt; 500 Hrs"/>
      <sheetName val="Counters Not Updated"/>
      <sheetName val="Critical Spares &lt; Min. Stock"/>
      <sheetName val="WO's Awaiting TSI Approval"/>
      <sheetName val="Expired Certificates"/>
      <sheetName val="Certificates Awaiting Approval"/>
      <sheetName val="Overdue Surveys &amp; Services"/>
      <sheetName val="Expired Defects"/>
      <sheetName val="VIR Expired reports"/>
      <sheetName val="Audit Reports"/>
      <sheetName val="Inspection Reports"/>
    </sheetNames>
    <sheetDataSet>
      <sheetData sheetId="0"/>
      <sheetData sheetId="1">
        <row r="2">
          <cell r="AR2" t="str">
            <v>Count</v>
          </cell>
        </row>
        <row r="3">
          <cell r="AP3" t="str">
            <v>PMS</v>
          </cell>
          <cell r="AQ3" t="str">
            <v xml:space="preserve">Critical Jobs &gt; 10 days Overdue </v>
          </cell>
          <cell r="AR3">
            <v>5</v>
          </cell>
        </row>
        <row r="4">
          <cell r="AP4"/>
          <cell r="AQ4" t="str">
            <v xml:space="preserve">Critical Jobs &gt;200 Hours Overdue </v>
          </cell>
          <cell r="AR4">
            <v>1</v>
          </cell>
        </row>
        <row r="5">
          <cell r="AP5"/>
          <cell r="AQ5" t="str">
            <v>Non Critical Jobs &gt; 1 Month Overdue</v>
          </cell>
          <cell r="AR5">
            <v>124</v>
          </cell>
        </row>
        <row r="6">
          <cell r="AP6"/>
          <cell r="AQ6" t="str">
            <v>Non Critical Jobs &gt;  500 hours Overdue</v>
          </cell>
          <cell r="AR6">
            <v>49</v>
          </cell>
        </row>
        <row r="7">
          <cell r="AP7"/>
          <cell r="AQ7" t="str">
            <v>Counters Not Updated</v>
          </cell>
          <cell r="AR7">
            <v>168</v>
          </cell>
        </row>
        <row r="8">
          <cell r="AP8"/>
          <cell r="AQ8" t="str">
            <v>Critical Spares lessthan Min Stock</v>
          </cell>
          <cell r="AR8">
            <v>41</v>
          </cell>
        </row>
        <row r="9">
          <cell r="AP9"/>
          <cell r="AQ9" t="str">
            <v>WO Awaiting TSI Approval</v>
          </cell>
          <cell r="AR9">
            <v>32</v>
          </cell>
        </row>
        <row r="10">
          <cell r="AP10"/>
          <cell r="AQ10"/>
          <cell r="AR10"/>
        </row>
        <row r="11">
          <cell r="AP11" t="str">
            <v>Ceriticates</v>
          </cell>
          <cell r="AQ11" t="str">
            <v>Expired Certificates</v>
          </cell>
          <cell r="AR11">
            <v>91</v>
          </cell>
        </row>
        <row r="12">
          <cell r="AP12"/>
          <cell r="AQ12" t="str">
            <v>Pending Approval Ceritificates</v>
          </cell>
          <cell r="AR12">
            <v>131</v>
          </cell>
        </row>
        <row r="13">
          <cell r="AP13"/>
          <cell r="AQ13" t="str">
            <v>Overdue Surveys</v>
          </cell>
          <cell r="AR13">
            <v>227</v>
          </cell>
        </row>
        <row r="14">
          <cell r="AP14"/>
          <cell r="AQ14"/>
          <cell r="AR14"/>
        </row>
        <row r="15">
          <cell r="AP15" t="str">
            <v>Defects</v>
          </cell>
          <cell r="AQ15" t="str">
            <v>H &amp; M</v>
          </cell>
          <cell r="AR15">
            <v>21</v>
          </cell>
        </row>
        <row r="16">
          <cell r="AP16" t="str">
            <v>Vir</v>
          </cell>
          <cell r="AQ16" t="str">
            <v>Vir Main Reports</v>
          </cell>
          <cell r="AR16">
            <v>6</v>
          </cell>
        </row>
        <row r="17">
          <cell r="AP17"/>
          <cell r="AQ17" t="str">
            <v>Vir Defects</v>
          </cell>
          <cell r="AR17">
            <v>11</v>
          </cell>
        </row>
        <row r="18">
          <cell r="AP18" t="str">
            <v>Audits</v>
          </cell>
          <cell r="AQ18" t="str">
            <v>All Audit Reports</v>
          </cell>
          <cell r="AR18">
            <v>15</v>
          </cell>
        </row>
        <row r="19">
          <cell r="AP19" t="str">
            <v>Inspections</v>
          </cell>
          <cell r="AQ19" t="str">
            <v>All  Inspections</v>
          </cell>
          <cell r="AR19">
            <v>93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akata Island Team"/>
      <sheetName val="Sheet1"/>
    </sheetNames>
    <sheetDataSet>
      <sheetData sheetId="0">
        <row r="2">
          <cell r="E2" t="str">
            <v>VESSEL CODE</v>
          </cell>
          <cell r="F2" t="str">
            <v>Vessel Name</v>
          </cell>
          <cell r="G2" t="str">
            <v>Technical SI(main)</v>
          </cell>
          <cell r="H2" t="str">
            <v>Group</v>
          </cell>
        </row>
        <row r="3">
          <cell r="E3" t="str">
            <v>MAAC</v>
          </cell>
          <cell r="F3" t="str">
            <v>Maersk Acadia</v>
          </cell>
          <cell r="G3" t="str">
            <v>Rupak Chundayil Kalam</v>
          </cell>
          <cell r="H3" t="str">
            <v>SPPL Fleet - B</v>
          </cell>
        </row>
        <row r="4">
          <cell r="E4" t="str">
            <v>MBCN</v>
          </cell>
          <cell r="F4" t="str">
            <v>Maersk Biscayne</v>
          </cell>
          <cell r="G4" t="str">
            <v>Rupak Chundayil Kalam</v>
          </cell>
          <cell r="H4" t="str">
            <v>SPPL Fleet - B</v>
          </cell>
        </row>
        <row r="5">
          <cell r="E5" t="str">
            <v>MEGS</v>
          </cell>
          <cell r="F5" t="str">
            <v>Maersk Everglades</v>
          </cell>
          <cell r="G5" t="str">
            <v>Rupak Chundayil Kalam</v>
          </cell>
          <cell r="H5" t="str">
            <v>SPPL Fleet - B</v>
          </cell>
        </row>
        <row r="6">
          <cell r="E6" t="str">
            <v>MGCR</v>
          </cell>
          <cell r="F6" t="str">
            <v>Maersk Glacier</v>
          </cell>
          <cell r="G6" t="str">
            <v>Rupak Chundayil Kalam</v>
          </cell>
          <cell r="H6" t="str">
            <v>SPPL Fleet - B</v>
          </cell>
        </row>
        <row r="7">
          <cell r="E7" t="str">
            <v>MAMA</v>
          </cell>
          <cell r="F7" t="str">
            <v>Maersk Mammoth</v>
          </cell>
          <cell r="G7" t="str">
            <v>Rupak Chundayil Kalam</v>
          </cell>
          <cell r="H7" t="str">
            <v>SPPL Fleet - B</v>
          </cell>
        </row>
        <row r="8">
          <cell r="E8" t="str">
            <v>MAOL</v>
          </cell>
          <cell r="F8" t="str">
            <v>Maersk Olympic</v>
          </cell>
          <cell r="G8" t="str">
            <v xml:space="preserve">Sujith Sundaran </v>
          </cell>
          <cell r="H8" t="str">
            <v>SPPL Fleet - B</v>
          </cell>
        </row>
        <row r="9">
          <cell r="E9" t="str">
            <v>MRWD</v>
          </cell>
          <cell r="F9" t="str">
            <v>Maersk Redwood</v>
          </cell>
          <cell r="G9" t="str">
            <v xml:space="preserve">Sujith Sundaran </v>
          </cell>
          <cell r="H9" t="str">
            <v>SPPL Fleet - B</v>
          </cell>
        </row>
        <row r="10">
          <cell r="E10" t="str">
            <v>MSQA</v>
          </cell>
          <cell r="F10" t="str">
            <v>Maersk Sequoia</v>
          </cell>
          <cell r="G10" t="str">
            <v xml:space="preserve">Sujith Sundaran </v>
          </cell>
          <cell r="H10" t="str">
            <v>SPPL Fleet - B</v>
          </cell>
        </row>
        <row r="11">
          <cell r="E11" t="str">
            <v>MYMT</v>
          </cell>
          <cell r="F11" t="str">
            <v>Maersk Yosemite</v>
          </cell>
          <cell r="G11" t="str">
            <v xml:space="preserve">Sujith Sundaran </v>
          </cell>
          <cell r="H11" t="str">
            <v>SPPL Fleet - B</v>
          </cell>
        </row>
        <row r="12">
          <cell r="E12" t="str">
            <v>MYLS</v>
          </cell>
          <cell r="F12" t="str">
            <v>Maersk Yellowstone</v>
          </cell>
          <cell r="G12" t="str">
            <v xml:space="preserve">Sujith Sundaran </v>
          </cell>
          <cell r="H12" t="str">
            <v>SPPL Fleet - B</v>
          </cell>
        </row>
        <row r="13">
          <cell r="E13" t="str">
            <v>AFLO</v>
          </cell>
          <cell r="F13" t="str">
            <v>APL Florida</v>
          </cell>
          <cell r="G13" t="str">
            <v>Saravana Kumar Sundar</v>
          </cell>
          <cell r="H13" t="str">
            <v xml:space="preserve">SPPL Fleet - A </v>
          </cell>
        </row>
        <row r="14">
          <cell r="E14" t="str">
            <v>ACAL</v>
          </cell>
          <cell r="F14" t="str">
            <v>APL California</v>
          </cell>
          <cell r="G14" t="str">
            <v>Saravana Kumar Sundar</v>
          </cell>
          <cell r="H14" t="str">
            <v xml:space="preserve">SPPL Fleet - A </v>
          </cell>
        </row>
        <row r="15">
          <cell r="E15" t="str">
            <v>STIG</v>
          </cell>
          <cell r="F15" t="str">
            <v>OOCL Brazil</v>
          </cell>
          <cell r="G15" t="str">
            <v>Manoj Padmanabhan</v>
          </cell>
          <cell r="H15" t="str">
            <v xml:space="preserve">SPPL Fleet - A </v>
          </cell>
        </row>
        <row r="16">
          <cell r="E16" t="str">
            <v>SENA</v>
          </cell>
          <cell r="F16" t="str">
            <v>OOCL Durban</v>
          </cell>
          <cell r="G16" t="str">
            <v>Manoj Padmanabhan</v>
          </cell>
          <cell r="H16" t="str">
            <v xml:space="preserve">SPPL Fleet - A </v>
          </cell>
        </row>
        <row r="17">
          <cell r="E17" t="str">
            <v>CEZE</v>
          </cell>
          <cell r="F17" t="str">
            <v>Cezanne</v>
          </cell>
          <cell r="G17" t="str">
            <v>Ramu Boopathy</v>
          </cell>
          <cell r="H17" t="str">
            <v xml:space="preserve">SPPL Fleet - A </v>
          </cell>
        </row>
        <row r="18">
          <cell r="E18" t="str">
            <v>MSAL</v>
          </cell>
          <cell r="F18" t="str">
            <v>Maersk Saltoro</v>
          </cell>
          <cell r="G18" t="str">
            <v>Senthilvelan</v>
          </cell>
          <cell r="H18" t="str">
            <v xml:space="preserve">SPPL Fleet - A </v>
          </cell>
        </row>
        <row r="19">
          <cell r="E19" t="str">
            <v>DALI</v>
          </cell>
          <cell r="F19" t="str">
            <v>Dali</v>
          </cell>
          <cell r="G19" t="str">
            <v>Karthik Nair</v>
          </cell>
          <cell r="H19" t="str">
            <v>SPPL Fleet - B</v>
          </cell>
        </row>
        <row r="20">
          <cell r="E20" t="str">
            <v>CASA</v>
          </cell>
          <cell r="F20" t="str">
            <v>Cap San Artemissio</v>
          </cell>
          <cell r="G20" t="str">
            <v>Vinoth Kumar R</v>
          </cell>
          <cell r="H20" t="str">
            <v xml:space="preserve">SPPL Fleet - A </v>
          </cell>
        </row>
        <row r="21">
          <cell r="E21" t="str">
            <v>CASM</v>
          </cell>
          <cell r="F21" t="str">
            <v>Cap San Maleas</v>
          </cell>
          <cell r="G21" t="str">
            <v>Vinoth Kumar R</v>
          </cell>
          <cell r="H21" t="str">
            <v xml:space="preserve">SPPL Fleet - A </v>
          </cell>
        </row>
        <row r="22">
          <cell r="E22" t="str">
            <v>CASS</v>
          </cell>
          <cell r="F22" t="str">
            <v>Cap San Sounio</v>
          </cell>
          <cell r="G22" t="str">
            <v>Vinoth Kumar R</v>
          </cell>
          <cell r="H22" t="str">
            <v xml:space="preserve">SPPL Fleet - A </v>
          </cell>
        </row>
        <row r="23">
          <cell r="E23" t="str">
            <v>CATA</v>
          </cell>
          <cell r="F23" t="str">
            <v>Cap San Tainaro</v>
          </cell>
          <cell r="G23" t="str">
            <v>Vinoth Kumar R</v>
          </cell>
          <cell r="H23" t="str">
            <v xml:space="preserve">SPPL Fleet - A </v>
          </cell>
        </row>
        <row r="24">
          <cell r="E24" t="str">
            <v>ELPA</v>
          </cell>
          <cell r="F24" t="str">
            <v>Maersk El Palomar</v>
          </cell>
          <cell r="G24" t="str">
            <v>Ramu Boopathy</v>
          </cell>
          <cell r="H24" t="str">
            <v xml:space="preserve">SPPL Fleet - A </v>
          </cell>
        </row>
        <row r="25">
          <cell r="E25" t="str">
            <v>ELBO</v>
          </cell>
          <cell r="F25" t="str">
            <v>Maersk El Banco</v>
          </cell>
          <cell r="G25" t="str">
            <v>Ramu Boopathy</v>
          </cell>
          <cell r="H25" t="str">
            <v xml:space="preserve">SPPL Fleet - A </v>
          </cell>
        </row>
        <row r="26">
          <cell r="E26" t="str">
            <v>ELAL</v>
          </cell>
          <cell r="F26" t="str">
            <v>Maersk El Alto</v>
          </cell>
          <cell r="G26" t="str">
            <v>Senthilvelan</v>
          </cell>
          <cell r="H26" t="str">
            <v xml:space="preserve">SPPL Fleet - A </v>
          </cell>
        </row>
        <row r="27">
          <cell r="E27" t="str">
            <v>EUNA</v>
          </cell>
          <cell r="F27" t="str">
            <v>Maersk Eunapolis</v>
          </cell>
          <cell r="G27" t="str">
            <v>Senthilvelan</v>
          </cell>
          <cell r="H27" t="str">
            <v xml:space="preserve">SPPL Fleet - A </v>
          </cell>
        </row>
        <row r="28">
          <cell r="E28" t="str">
            <v>EBOS</v>
          </cell>
          <cell r="F28" t="str">
            <v>Maersk El Bosque</v>
          </cell>
          <cell r="G28" t="str">
            <v>Ramu Boopathy</v>
          </cell>
          <cell r="H28" t="str">
            <v xml:space="preserve">SPPL Fleet - A </v>
          </cell>
        </row>
        <row r="29">
          <cell r="E29" t="str">
            <v>MEMD</v>
          </cell>
          <cell r="F29" t="str">
            <v>Maersk Emerald</v>
          </cell>
          <cell r="G29" t="str">
            <v>Senthilvelan</v>
          </cell>
          <cell r="H29" t="str">
            <v xml:space="preserve">SPPL Fleet - A </v>
          </cell>
        </row>
        <row r="30">
          <cell r="E30" t="str">
            <v>EVGR</v>
          </cell>
          <cell r="F30" t="str">
            <v>Ever Grade</v>
          </cell>
          <cell r="G30" t="str">
            <v>Karthik Nair</v>
          </cell>
          <cell r="H30" t="str">
            <v>SPPL Fleet - B</v>
          </cell>
        </row>
        <row r="31">
          <cell r="E31" t="str">
            <v>EVGL</v>
          </cell>
          <cell r="F31" t="str">
            <v>Ever Globe</v>
          </cell>
          <cell r="G31" t="str">
            <v>Karthik Nair</v>
          </cell>
          <cell r="H31" t="str">
            <v>SPPL Fleet - B</v>
          </cell>
        </row>
        <row r="32">
          <cell r="E32" t="str">
            <v>EVGE</v>
          </cell>
          <cell r="F32" t="str">
            <v>Ever Greet</v>
          </cell>
          <cell r="G32" t="str">
            <v>Karthik Nair</v>
          </cell>
          <cell r="H32" t="str">
            <v>SPPL Fleet - B</v>
          </cell>
        </row>
        <row r="33">
          <cell r="E33" t="str">
            <v>MFTR</v>
          </cell>
          <cell r="F33" t="str">
            <v>Maersk Finisterre</v>
          </cell>
          <cell r="G33" t="str">
            <v>Manoj Padmanabhan</v>
          </cell>
          <cell r="H33" t="str">
            <v xml:space="preserve">SPPL Fleet - A </v>
          </cell>
        </row>
        <row r="34">
          <cell r="E34" t="str">
            <v>FVTY</v>
          </cell>
          <cell r="F34" t="str">
            <v>Bow Victory</v>
          </cell>
          <cell r="G34" t="str">
            <v>Jugal Toshniwal /Vinayak Agarwal</v>
          </cell>
          <cell r="H34" t="str">
            <v>SPPL Fleet - E</v>
          </cell>
        </row>
        <row r="35">
          <cell r="E35" t="str">
            <v>FLOY</v>
          </cell>
          <cell r="F35" t="str">
            <v>Fairchem Loyalty</v>
          </cell>
          <cell r="G35" t="str">
            <v>Vidyadhar Vaidya</v>
          </cell>
          <cell r="H35" t="str">
            <v>SPPL Fleet - E</v>
          </cell>
        </row>
        <row r="36">
          <cell r="E36" t="str">
            <v>FHON</v>
          </cell>
          <cell r="F36" t="str">
            <v>Honor Galaxy</v>
          </cell>
          <cell r="G36" t="str">
            <v>Santosh Kulkarni</v>
          </cell>
          <cell r="H36" t="str">
            <v>SPPL Fleet - F</v>
          </cell>
        </row>
        <row r="37">
          <cell r="E37" t="str">
            <v>TRGY</v>
          </cell>
          <cell r="F37" t="str">
            <v>Trust Galaxy</v>
          </cell>
          <cell r="G37" t="str">
            <v>Santosh Kulkarni</v>
          </cell>
          <cell r="H37" t="str">
            <v>SPPL Fleet - F</v>
          </cell>
        </row>
        <row r="38">
          <cell r="E38" t="str">
            <v>FTRI</v>
          </cell>
          <cell r="F38" t="str">
            <v>Bow Glory</v>
          </cell>
          <cell r="G38" t="str">
            <v>Vidyadhar Vaidya</v>
          </cell>
          <cell r="H38" t="str">
            <v>SPPL Fleet - E</v>
          </cell>
        </row>
        <row r="39">
          <cell r="E39" t="str">
            <v>BERK</v>
          </cell>
          <cell r="F39" t="str">
            <v>Bow Erikson</v>
          </cell>
          <cell r="G39" t="str">
            <v>Umesh Sasle</v>
          </cell>
          <cell r="H39" t="str">
            <v>SPPL Fleet - F</v>
          </cell>
        </row>
        <row r="40">
          <cell r="E40" t="str">
            <v>FSUC</v>
          </cell>
          <cell r="F40" t="str">
            <v>Bow Success</v>
          </cell>
          <cell r="G40" t="str">
            <v>Nitin Mathapati</v>
          </cell>
          <cell r="H40" t="str">
            <v>SPPL Fleet - E</v>
          </cell>
        </row>
        <row r="41">
          <cell r="E41" t="str">
            <v>FVAL</v>
          </cell>
          <cell r="F41" t="str">
            <v>Fairchem Valor</v>
          </cell>
          <cell r="G41" t="str">
            <v>Santosh Kulkarni</v>
          </cell>
          <cell r="H41" t="str">
            <v>SPPL Fleet - F</v>
          </cell>
        </row>
        <row r="42">
          <cell r="E42" t="str">
            <v>FAEN</v>
          </cell>
          <cell r="F42" t="str">
            <v>Ginga Endurance</v>
          </cell>
          <cell r="G42" t="str">
            <v>Adarsh Munshi</v>
          </cell>
          <cell r="H42" t="str">
            <v>SPPL Fleet - E</v>
          </cell>
        </row>
        <row r="43">
          <cell r="E43" t="str">
            <v>FAFO</v>
          </cell>
          <cell r="F43" t="str">
            <v>Ginga Fortitude</v>
          </cell>
          <cell r="G43" t="str">
            <v>Nitin Mathapati</v>
          </cell>
          <cell r="H43" t="str">
            <v>SPPL Fleet - E</v>
          </cell>
        </row>
        <row r="44">
          <cell r="E44" t="str">
            <v>BOCL</v>
          </cell>
          <cell r="F44" t="str">
            <v>Bow Ocelot</v>
          </cell>
          <cell r="G44" t="str">
            <v>Shivam Sawant</v>
          </cell>
          <cell r="H44" t="str">
            <v>SPPL Fleet - F</v>
          </cell>
        </row>
        <row r="45">
          <cell r="E45" t="str">
            <v>BFTR</v>
          </cell>
          <cell r="F45" t="str">
            <v>Bow Fighter</v>
          </cell>
          <cell r="G45" t="str">
            <v>Umesh Sasle</v>
          </cell>
          <cell r="H45" t="str">
            <v>SPPL Fleet - F</v>
          </cell>
        </row>
        <row r="46">
          <cell r="E46" t="str">
            <v>RKGY</v>
          </cell>
          <cell r="F46" t="str">
            <v>Rokko Galxy</v>
          </cell>
          <cell r="G46" t="str">
            <v>Jugal Toshniwal /Nitin</v>
          </cell>
          <cell r="H46" t="str">
            <v>SPPL Fleet - E</v>
          </cell>
        </row>
        <row r="47">
          <cell r="E47" t="str">
            <v>BCTH</v>
          </cell>
          <cell r="F47" t="str">
            <v>Bow Cheetah</v>
          </cell>
          <cell r="G47" t="str">
            <v>Samir Magdum</v>
          </cell>
          <cell r="H47" t="str">
            <v>SPPL Fleet - E</v>
          </cell>
        </row>
        <row r="48">
          <cell r="E48" t="str">
            <v>BCGR</v>
          </cell>
          <cell r="F48" t="str">
            <v>Bow Cougar</v>
          </cell>
          <cell r="G48" t="str">
            <v>Jugal Toshniwal /Vinayak Agarwal</v>
          </cell>
          <cell r="H48" t="str">
            <v>SPPL Fleet - E</v>
          </cell>
        </row>
        <row r="49">
          <cell r="E49" t="str">
            <v>BJAG</v>
          </cell>
          <cell r="F49" t="str">
            <v>Bow Jaguar</v>
          </cell>
          <cell r="G49" t="str">
            <v>Shivam Sawant</v>
          </cell>
          <cell r="H49" t="str">
            <v>SPPL Fleet - F</v>
          </cell>
        </row>
        <row r="50">
          <cell r="E50" t="str">
            <v>BLPD</v>
          </cell>
          <cell r="F50" t="str">
            <v>Bow Leopard</v>
          </cell>
          <cell r="G50" t="str">
            <v>Umesh Sasle</v>
          </cell>
          <cell r="H50" t="str">
            <v>SPPL Fleet - F</v>
          </cell>
        </row>
        <row r="51">
          <cell r="E51" t="str">
            <v>BWLN</v>
          </cell>
          <cell r="F51" t="str">
            <v>Bow Lion</v>
          </cell>
          <cell r="G51" t="str">
            <v>Umesh Sasle</v>
          </cell>
          <cell r="H51" t="str">
            <v>SPPL Fleet - F</v>
          </cell>
        </row>
        <row r="52">
          <cell r="E52" t="str">
            <v>BLNX</v>
          </cell>
          <cell r="F52" t="str">
            <v>Bow Lynx</v>
          </cell>
          <cell r="G52" t="str">
            <v>Shivam Sawant</v>
          </cell>
          <cell r="H52" t="str">
            <v>SPPL Fleet - F</v>
          </cell>
        </row>
        <row r="53">
          <cell r="E53" t="str">
            <v>BEGA</v>
          </cell>
          <cell r="F53" t="str">
            <v>Bow Mercury</v>
          </cell>
          <cell r="G53" t="str">
            <v>Samir Magdum</v>
          </cell>
          <cell r="H53" t="str">
            <v>SPPL Fleet - E</v>
          </cell>
        </row>
        <row r="54">
          <cell r="E54" t="str">
            <v>BPTR</v>
          </cell>
          <cell r="F54" t="str">
            <v>Bow Panther</v>
          </cell>
          <cell r="G54" t="str">
            <v>Jugal Toshniwal /Vinayak Agarwal</v>
          </cell>
          <cell r="H54" t="str">
            <v>SPPL Fleet - E</v>
          </cell>
        </row>
        <row r="55">
          <cell r="E55" t="str">
            <v>BWTG</v>
          </cell>
          <cell r="F55" t="str">
            <v>Bow Tiger</v>
          </cell>
          <cell r="G55" t="str">
            <v>Shivam Sawant</v>
          </cell>
          <cell r="H55" t="str">
            <v>SPPL Fleet - F</v>
          </cell>
        </row>
        <row r="56">
          <cell r="E56" t="str">
            <v>GCSO</v>
          </cell>
          <cell r="F56" t="str">
            <v>Golden Calypso</v>
          </cell>
          <cell r="G56" t="str">
            <v>Shivam Sawant</v>
          </cell>
          <cell r="H56" t="str">
            <v>SPPL Fleet - F</v>
          </cell>
        </row>
        <row r="57">
          <cell r="E57" t="str">
            <v>GTHS</v>
          </cell>
          <cell r="F57" t="str">
            <v>Golden Thetis</v>
          </cell>
          <cell r="G57" t="str">
            <v>Vidyadhar Vaidya</v>
          </cell>
          <cell r="H57" t="str">
            <v>SPPL Fleet - E</v>
          </cell>
        </row>
        <row r="58">
          <cell r="E58" t="str">
            <v>KMGY</v>
          </cell>
          <cell r="F58" t="str">
            <v>Bow Luna</v>
          </cell>
          <cell r="G58" t="str">
            <v>Adarsh Munshi</v>
          </cell>
          <cell r="H58" t="str">
            <v>SPPL Fleet - E</v>
          </cell>
        </row>
        <row r="59">
          <cell r="E59" t="str">
            <v>RIGY</v>
          </cell>
          <cell r="F59" t="str">
            <v>Rishiri Galaxy</v>
          </cell>
          <cell r="G59" t="str">
            <v>Samir Magdum</v>
          </cell>
          <cell r="H59" t="str">
            <v>SPPL Fleet - E</v>
          </cell>
        </row>
        <row r="60">
          <cell r="E60" t="str">
            <v>TSGA</v>
          </cell>
          <cell r="F60" t="str">
            <v>Tsukuba Galaxy</v>
          </cell>
          <cell r="G60" t="str">
            <v>Samir Magdum</v>
          </cell>
          <cell r="H60" t="str">
            <v>SPPL Fleet - E</v>
          </cell>
        </row>
        <row r="61">
          <cell r="E61" t="str">
            <v>TSRG</v>
          </cell>
          <cell r="F61" t="str">
            <v>Tsurugi Galaxy</v>
          </cell>
          <cell r="G61" t="str">
            <v>Vidyadhar Vaidya</v>
          </cell>
          <cell r="H61" t="str">
            <v>SPPL Fleet - E</v>
          </cell>
        </row>
        <row r="62">
          <cell r="E62" t="str">
            <v>BSET</v>
          </cell>
          <cell r="F62" t="str">
            <v>Basset</v>
          </cell>
          <cell r="G62" t="str">
            <v>Umesh Sasle/Ponnappa</v>
          </cell>
          <cell r="H62" t="str">
            <v>SPPL Fleet - F</v>
          </cell>
        </row>
        <row r="63">
          <cell r="E63" t="str">
            <v>BELE</v>
          </cell>
          <cell r="F63" t="str">
            <v>Beagle</v>
          </cell>
          <cell r="G63" t="str">
            <v>Adarsh Munshi</v>
          </cell>
          <cell r="H63" t="str">
            <v>SPPL Fleet - E</v>
          </cell>
        </row>
        <row r="64">
          <cell r="E64" t="str">
            <v>BOXR</v>
          </cell>
          <cell r="F64" t="str">
            <v>Boxer</v>
          </cell>
          <cell r="G64" t="str">
            <v>Adarsh Munshi</v>
          </cell>
          <cell r="H64" t="str">
            <v>SPPL Fleet - E</v>
          </cell>
        </row>
        <row r="65">
          <cell r="E65" t="str">
            <v>BLDG</v>
          </cell>
          <cell r="F65" t="str">
            <v>Bulldog</v>
          </cell>
          <cell r="G65" t="str">
            <v>Shivam Sawant/Ponnappa</v>
          </cell>
          <cell r="H65" t="str">
            <v>SPPL Fleet - F</v>
          </cell>
        </row>
        <row r="66">
          <cell r="E66" t="str">
            <v>MHDN</v>
          </cell>
          <cell r="F66" t="str">
            <v>MH Daisen</v>
          </cell>
          <cell r="G66" t="str">
            <v>Santosh Kulkarni</v>
          </cell>
          <cell r="H66" t="str">
            <v>SPPL Fleet - F</v>
          </cell>
        </row>
        <row r="67">
          <cell r="E67" t="str">
            <v>NMNR</v>
          </cell>
          <cell r="F67" t="str">
            <v>Nord Mariner</v>
          </cell>
          <cell r="G67" t="str">
            <v>Jugal Toshniwal /Vinayak Agarwal</v>
          </cell>
          <cell r="H67" t="str">
            <v>SPPL Fleet - E</v>
          </cell>
        </row>
        <row r="68">
          <cell r="E68" t="str">
            <v>NOMA</v>
          </cell>
          <cell r="F68" t="str">
            <v>Nord Master</v>
          </cell>
          <cell r="G68" t="str">
            <v>Umesh Sasle</v>
          </cell>
          <cell r="H68" t="str">
            <v>SPPL Fleet - F</v>
          </cell>
        </row>
        <row r="69">
          <cell r="E69" t="str">
            <v>NOVA</v>
          </cell>
          <cell r="F69" t="str">
            <v>Nord Valhalla</v>
          </cell>
          <cell r="G69" t="str">
            <v>Nitin Mathapati</v>
          </cell>
          <cell r="H69" t="str">
            <v>SPPL Fleet - E</v>
          </cell>
        </row>
        <row r="70">
          <cell r="E70" t="str">
            <v>AYOE</v>
          </cell>
          <cell r="F70" t="str">
            <v>Ayoe</v>
          </cell>
          <cell r="G70" t="str">
            <v>Neelakandan Sethupathy</v>
          </cell>
          <cell r="H70" t="str">
            <v>SPPL Fleet - D</v>
          </cell>
        </row>
        <row r="71">
          <cell r="E71" t="str">
            <v>BLBU</v>
          </cell>
          <cell r="F71" t="str">
            <v>Blue Butterfly</v>
          </cell>
          <cell r="G71" t="str">
            <v>Madhan Sridhar</v>
          </cell>
          <cell r="H71" t="str">
            <v>SPPL Fleet - D</v>
          </cell>
        </row>
        <row r="72">
          <cell r="E72" t="str">
            <v>COME</v>
          </cell>
          <cell r="F72" t="str">
            <v>Clearocean Mesquite</v>
          </cell>
          <cell r="G72" t="str">
            <v>Jayaraman Mahesh</v>
          </cell>
          <cell r="H72" t="str">
            <v>SPPL Fleet - D</v>
          </cell>
        </row>
        <row r="73">
          <cell r="E73" t="str">
            <v>HAPR</v>
          </cell>
          <cell r="F73" t="str">
            <v>Hakata Princess</v>
          </cell>
          <cell r="G73" t="str">
            <v>Anurag Kumar Singh</v>
          </cell>
          <cell r="H73" t="str">
            <v>SPPL Fleet - D</v>
          </cell>
        </row>
        <row r="74">
          <cell r="E74" t="str">
            <v>KORA</v>
          </cell>
          <cell r="F74" t="str">
            <v>MH Konpira</v>
          </cell>
          <cell r="G74" t="str">
            <v>Anurag Kumar Singh</v>
          </cell>
          <cell r="H74" t="str">
            <v>SPPL Fleet - D</v>
          </cell>
        </row>
        <row r="75">
          <cell r="E75" t="str">
            <v>NORI</v>
          </cell>
          <cell r="F75" t="str">
            <v>MH Norikura</v>
          </cell>
          <cell r="G75" t="str">
            <v>Jayaraman Mahesh</v>
          </cell>
          <cell r="H75" t="str">
            <v>SPPL Fleet - D</v>
          </cell>
        </row>
        <row r="76">
          <cell r="E76" t="str">
            <v>NOVR</v>
          </cell>
          <cell r="F76" t="str">
            <v>Nord Victor</v>
          </cell>
          <cell r="G76" t="str">
            <v>Neelakandan Sethupathy</v>
          </cell>
          <cell r="H76" t="str">
            <v>SPPL Fleet - D</v>
          </cell>
        </row>
        <row r="77">
          <cell r="E77" t="str">
            <v>PLJU</v>
          </cell>
          <cell r="F77" t="str">
            <v>Platinum Jubilee</v>
          </cell>
          <cell r="G77" t="str">
            <v>Jayaraman Mahesh</v>
          </cell>
          <cell r="H77" t="str">
            <v>SPPL Fleet - D</v>
          </cell>
        </row>
        <row r="78">
          <cell r="E78" t="str">
            <v>ALMN</v>
          </cell>
          <cell r="F78" t="str">
            <v>Altmann</v>
          </cell>
          <cell r="G78" t="str">
            <v xml:space="preserve">Sameer Abdul Majeed </v>
          </cell>
          <cell r="H78" t="str">
            <v>SPPL Fleet - C</v>
          </cell>
        </row>
        <row r="79">
          <cell r="E79" t="str">
            <v>PRAD</v>
          </cell>
          <cell r="F79" t="str">
            <v>Precious Adelaide</v>
          </cell>
          <cell r="G79" t="str">
            <v>Neelakandan Sethupathy</v>
          </cell>
          <cell r="H79" t="str">
            <v>SPPL Fleet - D</v>
          </cell>
        </row>
        <row r="80">
          <cell r="E80" t="str">
            <v>SAVO</v>
          </cell>
          <cell r="F80" t="str">
            <v>Sakura Voyager</v>
          </cell>
          <cell r="G80" t="str">
            <v>Madhan Sridhar</v>
          </cell>
          <cell r="H80" t="str">
            <v>SPPL Fleet - D</v>
          </cell>
        </row>
        <row r="81">
          <cell r="E81" t="str">
            <v>CRST</v>
          </cell>
          <cell r="F81" t="str">
            <v>Cristallina</v>
          </cell>
          <cell r="G81" t="str">
            <v xml:space="preserve">Sameer Abdul Majeed </v>
          </cell>
          <cell r="H81" t="str">
            <v>SPPL Fleet - C</v>
          </cell>
        </row>
        <row r="82">
          <cell r="E82" t="str">
            <v>DEGU</v>
          </cell>
          <cell r="F82" t="str">
            <v>Degu</v>
          </cell>
          <cell r="G82" t="str">
            <v>Parry Paul Mampara</v>
          </cell>
          <cell r="H82" t="str">
            <v>SPPL Fleet - C</v>
          </cell>
        </row>
        <row r="83">
          <cell r="E83" t="str">
            <v>GRBY</v>
          </cell>
          <cell r="F83" t="str">
            <v>Gordons Bay</v>
          </cell>
          <cell r="G83" t="str">
            <v>Amit Bhargava</v>
          </cell>
          <cell r="H83" t="str">
            <v>SPPL Fleet - C</v>
          </cell>
        </row>
        <row r="84">
          <cell r="E84" t="str">
            <v>HJSS</v>
          </cell>
          <cell r="F84" t="str">
            <v>Hakatajima Sunshine</v>
          </cell>
          <cell r="G84" t="str">
            <v>Rajesh Kumar</v>
          </cell>
          <cell r="H84" t="str">
            <v>SPPL Fleet - C</v>
          </cell>
        </row>
        <row r="85">
          <cell r="E85" t="str">
            <v>HOKK</v>
          </cell>
          <cell r="F85" t="str">
            <v>Hokkaido</v>
          </cell>
          <cell r="G85" t="str">
            <v>Satish Kumar Mishra</v>
          </cell>
          <cell r="H85" t="str">
            <v>SPPL Fleet - C</v>
          </cell>
        </row>
        <row r="86">
          <cell r="E86" t="str">
            <v>JYBY</v>
          </cell>
          <cell r="F86" t="str">
            <v>Jeffreys Bay</v>
          </cell>
          <cell r="G86" t="str">
            <v>Satish Kumar Mishra</v>
          </cell>
          <cell r="H86" t="str">
            <v>SPPL Fleet - C</v>
          </cell>
        </row>
        <row r="87">
          <cell r="E87" t="str">
            <v>SMTO</v>
          </cell>
          <cell r="F87" t="str">
            <v>UM Shimanto</v>
          </cell>
          <cell r="G87" t="str">
            <v>Nitin Mathapati</v>
          </cell>
          <cell r="H87" t="str">
            <v>SPPL Fleet - E</v>
          </cell>
        </row>
        <row r="88">
          <cell r="E88" t="str">
            <v>STCR</v>
          </cell>
          <cell r="F88" t="str">
            <v>Stena Conductor</v>
          </cell>
          <cell r="G88" t="str">
            <v>Jayaraman Mahesh</v>
          </cell>
          <cell r="H88" t="str">
            <v>SPPL Fleet - D</v>
          </cell>
        </row>
        <row r="89">
          <cell r="E89" t="str">
            <v>STCO</v>
          </cell>
          <cell r="F89" t="str">
            <v>Stena Convoy</v>
          </cell>
          <cell r="G89" t="str">
            <v>Jayaraman Mahesh</v>
          </cell>
          <cell r="H89" t="str">
            <v>SPPL Fleet - D</v>
          </cell>
        </row>
        <row r="90">
          <cell r="E90" t="str">
            <v>WIAD</v>
          </cell>
          <cell r="F90" t="str">
            <v>Wisco Adventure</v>
          </cell>
          <cell r="G90" t="str">
            <v>Neelakandan Sethupathy</v>
          </cell>
          <cell r="H90" t="str">
            <v>SPPL Fleet - D</v>
          </cell>
        </row>
        <row r="91">
          <cell r="E91" t="str">
            <v>PMAL</v>
          </cell>
          <cell r="F91" t="str">
            <v>Pusaka Malaka</v>
          </cell>
          <cell r="G91" t="str">
            <v>Santosh Kulkarni/Ponnappa</v>
          </cell>
          <cell r="H91" t="str">
            <v>SPPL Fleet - F</v>
          </cell>
        </row>
        <row r="92">
          <cell r="E92" t="str">
            <v>HOTA</v>
          </cell>
          <cell r="F92" t="str">
            <v>MH Hotaka</v>
          </cell>
          <cell r="G92" t="str">
            <v>Satish Kumar Mishra</v>
          </cell>
          <cell r="H92" t="str">
            <v>SPPL Fleet - C</v>
          </cell>
        </row>
        <row r="93">
          <cell r="E93" t="str">
            <v>IBUK</v>
          </cell>
          <cell r="F93" t="str">
            <v>MH Ibuki</v>
          </cell>
          <cell r="G93" t="str">
            <v>Rajesh Kumar</v>
          </cell>
          <cell r="H93" t="str">
            <v>SPPL Fleet - C</v>
          </cell>
        </row>
        <row r="94">
          <cell r="E94" t="str">
            <v>NMAT</v>
          </cell>
          <cell r="F94" t="str">
            <v xml:space="preserve">Nord Mate </v>
          </cell>
          <cell r="G94" t="str">
            <v>Parry Paul Mampara</v>
          </cell>
          <cell r="H94" t="str">
            <v>SPPL Fleet - C</v>
          </cell>
        </row>
        <row r="95">
          <cell r="E95" t="str">
            <v>NVAL</v>
          </cell>
          <cell r="F95" t="str">
            <v>Nord Valour</v>
          </cell>
          <cell r="G95" t="str">
            <v xml:space="preserve">Sameer Abdul Majeed </v>
          </cell>
          <cell r="H95" t="str">
            <v>SPPL Fleet - C</v>
          </cell>
        </row>
        <row r="96">
          <cell r="E96" t="str">
            <v>NOVN</v>
          </cell>
          <cell r="F96" t="str">
            <v>Nord Vignale</v>
          </cell>
          <cell r="G96" t="str">
            <v>Satish Kumar Mishra</v>
          </cell>
          <cell r="H96" t="str">
            <v>SPPL Fleet - C</v>
          </cell>
        </row>
        <row r="97">
          <cell r="E97" t="str">
            <v>NVCN</v>
          </cell>
          <cell r="F97" t="str">
            <v>Nord Vulcan</v>
          </cell>
          <cell r="G97" t="str">
            <v>Parry Paul Mampara</v>
          </cell>
          <cell r="H97" t="str">
            <v>SPPL Fleet - C</v>
          </cell>
        </row>
        <row r="98">
          <cell r="E98" t="str">
            <v>POBO</v>
          </cell>
          <cell r="F98" t="str">
            <v>Precious Balboa</v>
          </cell>
          <cell r="G98" t="str">
            <v>Rajesh Kumar</v>
          </cell>
          <cell r="H98" t="str">
            <v>SPPL Fleet - C</v>
          </cell>
        </row>
        <row r="99">
          <cell r="E99" t="str">
            <v>STCQ</v>
          </cell>
          <cell r="F99" t="str">
            <v>Stena Conquest</v>
          </cell>
          <cell r="G99" t="str">
            <v>Rajesh Kumar</v>
          </cell>
          <cell r="H99" t="str">
            <v>SPPL Fleet - C</v>
          </cell>
        </row>
        <row r="100">
          <cell r="E100" t="str">
            <v>SCTD</v>
          </cell>
          <cell r="F100" t="str">
            <v xml:space="preserve">Stena Contender </v>
          </cell>
          <cell r="G100" t="str">
            <v>Parry Paul Mampara</v>
          </cell>
          <cell r="H100" t="str">
            <v>SPPL Fleet - C</v>
          </cell>
        </row>
        <row r="101">
          <cell r="E101" t="str">
            <v>STCT</v>
          </cell>
          <cell r="F101" t="str">
            <v>Stena Continent</v>
          </cell>
          <cell r="G101" t="str">
            <v>Parry Paul Mampara</v>
          </cell>
          <cell r="H101" t="str">
            <v>SPPL Fleet - C</v>
          </cell>
        </row>
        <row r="102">
          <cell r="E102" t="str">
            <v>UEDO</v>
          </cell>
          <cell r="F102" t="str">
            <v>UM EDO</v>
          </cell>
          <cell r="G102" t="str">
            <v>Amit Bhargava</v>
          </cell>
          <cell r="H102" t="str">
            <v>SPPL Fleet - C</v>
          </cell>
        </row>
        <row r="103">
          <cell r="E103" t="str">
            <v>KISO</v>
          </cell>
          <cell r="F103" t="str">
            <v>UM Kiso</v>
          </cell>
          <cell r="G103" t="str">
            <v>Amit Bhargava</v>
          </cell>
          <cell r="H103" t="str">
            <v>SPPL Fleet - C</v>
          </cell>
        </row>
        <row r="104">
          <cell r="E104" t="str">
            <v>YOSH</v>
          </cell>
          <cell r="F104" t="str">
            <v>UM Yoshino</v>
          </cell>
          <cell r="G104" t="str">
            <v>Satish Kumar Mishra</v>
          </cell>
          <cell r="H104" t="str">
            <v>SPPL Fleet - C</v>
          </cell>
        </row>
        <row r="105">
          <cell r="E105" t="str">
            <v>GLAT</v>
          </cell>
          <cell r="F105" t="str">
            <v>Globe Atlas</v>
          </cell>
          <cell r="G105" t="str">
            <v>Praveen Kumar</v>
          </cell>
          <cell r="H105" t="str">
            <v>SPPL Fleet - G</v>
          </cell>
        </row>
        <row r="106">
          <cell r="E106" t="str">
            <v>STGS</v>
          </cell>
          <cell r="F106" t="str">
            <v>Gas Stella</v>
          </cell>
          <cell r="G106" t="str">
            <v>Praveen Kumar</v>
          </cell>
          <cell r="H106" t="str">
            <v>SPPL Fleet - G</v>
          </cell>
        </row>
        <row r="107">
          <cell r="E107" t="str">
            <v>GSPT</v>
          </cell>
          <cell r="F107" t="str">
            <v>Gas Planet</v>
          </cell>
          <cell r="G107" t="str">
            <v>Manikandan Ayyappan</v>
          </cell>
          <cell r="H107" t="str">
            <v>SPPL Fleet - G</v>
          </cell>
        </row>
        <row r="108">
          <cell r="E108" t="str">
            <v>GLPO</v>
          </cell>
          <cell r="F108" t="str">
            <v>Globe Polaris</v>
          </cell>
          <cell r="G108" t="str">
            <v>Manikandan Ayyappan</v>
          </cell>
          <cell r="H108" t="str">
            <v>SPPL Fleet - G</v>
          </cell>
        </row>
        <row r="109">
          <cell r="E109" t="str">
            <v>GLIR</v>
          </cell>
          <cell r="F109" t="str">
            <v>Globe Iris</v>
          </cell>
          <cell r="G109" t="str">
            <v>Manikandan Ayyappan</v>
          </cell>
          <cell r="H109" t="str">
            <v>SPPL Fleet - G</v>
          </cell>
        </row>
        <row r="110">
          <cell r="E110" t="str">
            <v>CTBL</v>
          </cell>
          <cell r="F110" t="str">
            <v>Cristobal</v>
          </cell>
          <cell r="G110" t="str">
            <v>Praveen Kumar</v>
          </cell>
          <cell r="H110" t="str">
            <v>SPPL Fleet - G</v>
          </cell>
        </row>
        <row r="111">
          <cell r="E111" t="str">
            <v>ENEX</v>
          </cell>
          <cell r="F111" t="str">
            <v>Future Explorer</v>
          </cell>
          <cell r="G111" t="str">
            <v>Praveen Kumar</v>
          </cell>
          <cell r="H111" t="str">
            <v>SPPL Fleet - G</v>
          </cell>
        </row>
        <row r="112">
          <cell r="E112" t="str">
            <v>GLFR</v>
          </cell>
          <cell r="F112" t="str">
            <v>Globe Frontier</v>
          </cell>
          <cell r="G112" t="str">
            <v>Manikandan Ayyappan</v>
          </cell>
          <cell r="H112" t="str">
            <v>SPPL Fleet - G</v>
          </cell>
        </row>
        <row r="113">
          <cell r="E113" t="str">
            <v>PBOR</v>
          </cell>
          <cell r="F113" t="str">
            <v>Pusaka Borneo</v>
          </cell>
          <cell r="G113" t="str">
            <v>Santosh Kulkarni/Ponnappa</v>
          </cell>
          <cell r="H113" t="str">
            <v>SPPL Fleet - F</v>
          </cell>
        </row>
        <row r="114">
          <cell r="E114" t="str">
            <v>SOLE</v>
          </cell>
          <cell r="F114" t="str">
            <v>Southern Leader</v>
          </cell>
          <cell r="G114" t="str">
            <v>Madhan Sridhar</v>
          </cell>
          <cell r="H114" t="str">
            <v>SPPL Fleet - D</v>
          </cell>
        </row>
        <row r="115">
          <cell r="E115" t="str">
            <v>SORS</v>
          </cell>
          <cell r="F115" t="str">
            <v>Southern Resonance</v>
          </cell>
          <cell r="G115" t="str">
            <v>Anurag Kumar Singh</v>
          </cell>
          <cell r="H115" t="str">
            <v>SPPL Fleet - D</v>
          </cell>
        </row>
        <row r="116">
          <cell r="E116" t="str">
            <v>SORE</v>
          </cell>
          <cell r="F116" t="str">
            <v>Southern Respect</v>
          </cell>
          <cell r="G116" t="str">
            <v>Anurag Kumar Singh</v>
          </cell>
          <cell r="H116" t="str">
            <v>SPPL Fleet - D</v>
          </cell>
        </row>
        <row r="117">
          <cell r="E117" t="str">
            <v>SURV</v>
          </cell>
          <cell r="F117" t="str">
            <v>Southern Reverence</v>
          </cell>
          <cell r="G117" t="str">
            <v>Madhan Sridhar</v>
          </cell>
          <cell r="H117" t="str">
            <v>SPPL Fleet - D</v>
          </cell>
        </row>
        <row r="118">
          <cell r="E118" t="str">
            <v>PRSP</v>
          </cell>
          <cell r="F118" t="str">
            <v>Princess Sapphire</v>
          </cell>
          <cell r="G118" t="str">
            <v>Praveen Kumar</v>
          </cell>
          <cell r="H118" t="str">
            <v>SPPL Fleet - G</v>
          </cell>
        </row>
        <row r="119">
          <cell r="E119" t="str">
            <v>BRPI</v>
          </cell>
          <cell r="F119" t="str">
            <v>Bright Pioneer</v>
          </cell>
          <cell r="G119" t="str">
            <v>Neelakandan Sethupathy</v>
          </cell>
          <cell r="H119" t="str">
            <v>SPPL Fleet - D</v>
          </cell>
        </row>
      </sheetData>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15C3B-68A0-48F2-BAC5-A2AE226BF835}" name="Table1" displayName="Table1" ref="A2:W43" totalsRowShown="0" headerRowDxfId="133" dataDxfId="131" headerRowBorderDxfId="132" tableBorderDxfId="130" totalsRowBorderDxfId="129">
  <autoFilter ref="A2:W43" xr:uid="{35515C3B-68A0-48F2-BAC5-A2AE226BF835}"/>
  <sortState xmlns:xlrd2="http://schemas.microsoft.com/office/spreadsheetml/2017/richdata2" ref="A3:W43">
    <sortCondition descending="1" ref="M2:M43"/>
  </sortState>
  <tableColumns count="23">
    <tableColumn id="2" xr3:uid="{2D909117-C073-4960-ACFD-A0B2C9103CC2}" name="No." dataDxfId="128"/>
    <tableColumn id="3" xr3:uid="{321C56DF-07A1-4EFA-A0C7-F8A65152E645}" name="Description" dataDxfId="127"/>
    <tableColumn id="4" xr3:uid="{D6D583AC-1BC0-4BD9-B7A9-EB13F419074C}" name="Description 2" dataDxfId="126"/>
    <tableColumn id="5" xr3:uid="{5587ED25-8EF6-4420-A34B-E0EAD2DBFC03}" name="ROB" dataDxfId="125"/>
    <tableColumn id="6" xr3:uid="{0AA79E4B-CDC1-4C02-93BD-31B8D9241128}" name="Vessel" dataDxfId="124"/>
    <tableColumn id="7" xr3:uid="{3A25D3B4-FDB3-4DC7-9495-228CF0A8C36A}" name="Vessel Name" dataDxfId="123"/>
    <tableColumn id="23" xr3:uid="{248A8231-1A74-4BE4-B74C-D68776B1F465}" name="Tsi" dataDxfId="122">
      <calculatedColumnFormula>VLOOKUP(E:E,'[2]Hakata Island Team'!$E:$G,3,)</calculatedColumnFormula>
    </tableColumn>
    <tableColumn id="1" xr3:uid="{A9D00ED8-A84C-4974-B277-1B0E0DD169D7}" name="Fleet" dataDxfId="121">
      <calculatedColumnFormula>VLOOKUP(E:E,'[2]Hakata Island Team'!$E:$H,4,)</calculatedColumnFormula>
    </tableColumn>
    <tableColumn id="8" xr3:uid="{A64B06F2-3657-491D-B22A-2B7D6ABFA2E5}" name="Maker Ref." dataDxfId="120"/>
    <tableColumn id="9" xr3:uid="{FFA86FD0-9816-4F34-B047-6F76B06E11AA}" name="Item Category Code" dataDxfId="119"/>
    <tableColumn id="10" xr3:uid="{556B962B-3C28-4B37-8EAF-14551900A24F}" name="Part No." dataDxfId="118"/>
    <tableColumn id="11" xr3:uid="{749CEE82-BA88-4F6B-B571-791A74B1A3FF}" name="Drawing No." dataDxfId="117"/>
    <tableColumn id="12" xr3:uid="{C7D453EF-11E5-4B26-ACFF-4F0EE06DE180}" name="Minimum Level" dataDxfId="116"/>
    <tableColumn id="13" xr3:uid="{88E4C1CD-7B15-4968-993A-B4796656C147}" name="Position No." dataDxfId="115"/>
    <tableColumn id="14" xr3:uid="{C2B872D6-5608-4ADC-B729-2AA85ED06AEC}" name="Spare Maker" dataDxfId="114"/>
    <tableColumn id="15" xr3:uid="{68FA1723-062C-4340-BFF3-B6A82F9A981C}" name="Spare Maker Name" dataDxfId="113"/>
    <tableColumn id="16" xr3:uid="{7AD9AFCC-524A-4ED9-8968-0D8EEF2D1E3F}" name="Model" dataDxfId="112"/>
    <tableColumn id="17" xr3:uid="{545C1BA6-31AA-4975-8F4A-1C446ED447A5}" name="Model Name" dataDxfId="111"/>
    <tableColumn id="18" xr3:uid="{F054FA96-3160-417C-9819-B05B01AB7646}" name="No of PO\PR" dataDxfId="110"/>
    <tableColumn id="19" xr3:uid="{B04C1638-B860-4521-8925-E579A017DF75}" name="Unit Cost" dataDxfId="109"/>
    <tableColumn id="20" xr3:uid="{DBFB1218-8793-497F-AF53-1C543BE8A848}" name="Default Location Code" dataDxfId="108"/>
    <tableColumn id="21" xr3:uid="{27878297-A1A0-4DF5-B81F-97733207AFDE}" name="Default Location Name" dataDxfId="107"/>
    <tableColumn id="22" xr3:uid="{104E1FAC-CDE4-4CCC-B34E-5F6EAE628EDA}" name="Critical" dataDxfId="106">
      <calculatedColumnFormula>TRUE()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788580-754A-4D60-960C-2AF9C0A5FFF2}" name="Table13" displayName="Table13" ref="A2:AG34" totalsRowShown="0" headerRowDxfId="105" dataDxfId="103" headerRowBorderDxfId="104" tableBorderDxfId="102" totalsRowBorderDxfId="101">
  <autoFilter ref="A2:AG34" xr:uid="{6C788580-754A-4D60-960C-2AF9C0A5FFF2}"/>
  <tableColumns count="33">
    <tableColumn id="2" xr3:uid="{5D4870E0-D93E-4114-BE81-31767CFDD6A2}" name="Vessel" dataDxfId="100"/>
    <tableColumn id="33" xr3:uid="{80C036B2-B6E8-43A9-BB99-DD756EEEA176}" name="Vessel Name " dataDxfId="99"/>
    <tableColumn id="32" xr3:uid="{8F96DD20-0133-4A3A-98C7-355900780C35}" name="Tsi" dataDxfId="98"/>
    <tableColumn id="1" xr3:uid="{76597469-122B-42B1-A5EB-E1D0FA6F308A}" name="Fleet" dataDxfId="97"/>
    <tableColumn id="3" xr3:uid="{48EF965F-640D-426A-B688-BC8B9A910E0C}" name="Entry No." dataDxfId="96"/>
    <tableColumn id="4" xr3:uid="{CEF326D7-068F-4EFC-B225-63B5BC9C5DD5}" name="Approval Setup Description" dataDxfId="95"/>
    <tableColumn id="5" xr3:uid="{9CBA3AA6-AD92-4D41-9D75-1A927B6DDFE9}" name="Work Order No." dataDxfId="94"/>
    <tableColumn id="6" xr3:uid="{912CED00-011A-451C-A10B-E1C6BDD3D520}" name="Work Order Description" dataDxfId="93"/>
    <tableColumn id="7" xr3:uid="{B16C68D5-A630-4E3B-AD82-8A71AFA59029}" name="Approved by" dataDxfId="92"/>
    <tableColumn id="8" xr3:uid="{4BAD5EFC-8483-475D-8996-9F22EDB4BDF4}" name="Deviation in %" dataDxfId="91"/>
    <tableColumn id="9" xr3:uid="{B72C6018-773D-4F2D-BA04-CA7916257A3E}" name="Created at" dataDxfId="90"/>
    <tableColumn id="10" xr3:uid="{8506EFF8-FF3D-4728-B98C-B0BAC251A289}" name="Approved at" dataDxfId="89"/>
    <tableColumn id="11" xr3:uid="{B954DA8C-2F9D-4A4B-A53A-6660AB34B2BA}" name="Approval Status" dataDxfId="88"/>
    <tableColumn id="12" xr3:uid="{6068FB48-DD8B-4DB1-8BEF-2A53714BC11F}" name="Work Order Deferm. Counter" dataDxfId="87"/>
    <tableColumn id="13" xr3:uid="{86B59261-DF6D-4B11-A516-856EE3619328}" name="Due Date" dataDxfId="86"/>
    <tableColumn id="14" xr3:uid="{FC1AD42C-A3A6-4AA4-8F7E-061FE2C65E26}" name="New Due Date" dataDxfId="85"/>
    <tableColumn id="15" xr3:uid="{6F868741-43D9-4185-BF49-8FB5359EF6CA}" name="Current Counter Value" dataDxfId="84"/>
    <tableColumn id="16" xr3:uid="{44231E1D-F992-4A0F-8BE0-DEF511B99168}" name="Due Counter Value" dataDxfId="83"/>
    <tableColumn id="17" xr3:uid="{B5E0FD53-06A7-442D-9172-475431994528}" name="Deferment to Counter Value" dataDxfId="82"/>
    <tableColumn id="18" xr3:uid="{CD489BD1-4419-439C-A3DD-801FD22E42C2}" name="Project No." dataDxfId="81"/>
    <tableColumn id="19" xr3:uid="{1F59B02D-DBFA-4201-8004-362B3A14A64B}" name="New Project No." dataDxfId="80"/>
    <tableColumn id="20" xr3:uid="{5959BC50-D072-46DA-9DD1-4631364BB24A}" name="Deviation in Days" dataDxfId="79"/>
    <tableColumn id="21" xr3:uid="{FD01C22D-90C1-4061-AAC0-A8E68067F1B2}" name="Approval By User" dataDxfId="78"/>
    <tableColumn id="22" xr3:uid="{5A944F9E-3F1B-4707-B393-853DCAB9A5B1}" name="Delegate to User Group" dataDxfId="77"/>
    <tableColumn id="23" xr3:uid="{75907CC3-E395-4BFF-A3C2-7D7F26780B98}" name="Approval Setup Code" dataDxfId="76"/>
    <tableColumn id="24" xr3:uid="{BFCBB625-D2A3-47C9-BD93-BE0D9EFE896F}" name="Automatically Approved" dataDxfId="75"/>
    <tableColumn id="25" xr3:uid="{798676CD-BF73-4CE0-9409-0E5EB7FC3523}" name="By Admin" dataDxfId="74"/>
    <tableColumn id="26" xr3:uid="{29A0D0AE-F57B-4702-A306-D287FD86C467}" name="Employee ID" dataDxfId="73"/>
    <tableColumn id="27" xr3:uid="{FA0B4F98-181B-4C22-9DEF-8FD8F072EA5B}" name="Employee Name" dataDxfId="72"/>
    <tableColumn id="28" xr3:uid="{AB437252-D657-49DE-922B-B4880CFE2DD1}" name="User ID" dataDxfId="71"/>
    <tableColumn id="29" xr3:uid="{47583BC5-962A-40E5-A3AD-DE8ED4106B54}" name="Created by" dataDxfId="70"/>
    <tableColumn id="30" xr3:uid="{E97D6944-204A-433B-87B1-1BFAA87911E6}" name="Closed" dataDxfId="69"/>
    <tableColumn id="31" xr3:uid="{D9B2F47C-4249-4636-8385-1D8B95A51BE1}" name="Comment" dataDxfId="6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05F3FF-E770-47F3-B839-9BE973AA242A}" name="Table14" displayName="Table14" ref="A2:P93" totalsRowShown="0" headerRowDxfId="67" dataDxfId="65" headerRowBorderDxfId="66" tableBorderDxfId="64" totalsRowBorderDxfId="63">
  <autoFilter ref="A2:P93" xr:uid="{E705F3FF-E770-47F3-B839-9BE973AA242A}"/>
  <tableColumns count="16">
    <tableColumn id="7" xr3:uid="{B9016CDF-ED79-40D0-83BD-66F93AA011C2}" name="Admin SI. No." dataDxfId="62"/>
    <tableColumn id="8" xr3:uid="{4C71B566-2405-480A-A772-7EE6B6092ED5}" name="Vessel Code" dataDxfId="61"/>
    <tableColumn id="9" xr3:uid="{A48627CF-E059-4187-8307-84C0A8E67B37}" name="Vessel Name" dataDxfId="60"/>
    <tableColumn id="2" xr3:uid="{E374B555-6069-4648-B4B6-3A167B3BD161}" name="Tsi" dataDxfId="59"/>
    <tableColumn id="1" xr3:uid="{376FEA21-53DC-44D7-BFA4-218493495FF1}" name="Fleet" dataDxfId="58"/>
    <tableColumn id="10" xr3:uid="{8E8387E4-1C16-4E27-BBFE-6455841C5D1F}" name="Certificate" dataDxfId="57"/>
    <tableColumn id="11" xr3:uid="{1C277AE7-DAA5-4408-A136-EA13C44D2772}" name="Certificate Type" dataDxfId="56"/>
    <tableColumn id="12" xr3:uid="{9B5528E5-3B8C-460A-B8C9-7175C70307A8}" name="Is vessel certificate ?" dataDxfId="55"/>
    <tableColumn id="13" xr3:uid="{5F3A6F67-4974-4621-89DB-E6EF33040905}" name="Status" dataDxfId="54"/>
    <tableColumn id="14" xr3:uid="{E22E212F-00D9-4657-8B13-EAB3D6583870}" name="Expiry Date" dataDxfId="53"/>
    <tableColumn id="15" xr3:uid="{B6F98490-C9A1-411C-A52D-3ABB45D86990}" name="Due Status" dataDxfId="52"/>
    <tableColumn id="16" xr3:uid="{DC752EDF-E29B-432D-94CF-2843B789156B}" name="Certificate Category" dataDxfId="51"/>
    <tableColumn id="17" xr3:uid="{98422B14-5752-4941-AC2C-B75F0AEB4F9C}" name="Certificate No." dataDxfId="50"/>
    <tableColumn id="18" xr3:uid="{ACA5A8A5-E8BD-41CF-8174-6542EBEDEFD3}" name="Is Survey Linked?" dataDxfId="49"/>
    <tableColumn id="19" xr3:uid="{3541EDFE-EF8A-4573-B575-AC27EC85A620}" name="Surveyed On" dataDxfId="48"/>
    <tableColumn id="20" xr3:uid="{AC2781D5-ACA9-4A1A-8E7B-457DA0C020A3}" name="Extended Date" dataDxfId="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40CE9D-2A63-4191-A8ED-6317C36B1073}" name="Table15" displayName="Table15" ref="A2:P133" totalsRowShown="0" headerRowDxfId="46" dataDxfId="44" headerRowBorderDxfId="45" tableBorderDxfId="43" totalsRowBorderDxfId="42">
  <autoFilter ref="A2:P133" xr:uid="{CB40CE9D-2A63-4191-A8ED-6317C36B1073}"/>
  <tableColumns count="16">
    <tableColumn id="7" xr3:uid="{F73EF29C-2432-4BAF-9D55-0F02C2DA1D34}" name="Admin SI. No." dataDxfId="41"/>
    <tableColumn id="8" xr3:uid="{96E60514-F8A5-4DE5-85B7-4DF2573D16AE}" name="Vessel Code" dataDxfId="40"/>
    <tableColumn id="9" xr3:uid="{9CEF5E7D-E3AB-495E-A737-C646D6573001}" name="Vessel Name" dataDxfId="39"/>
    <tableColumn id="2" xr3:uid="{936A7C48-347D-43D9-A4FC-679ABBD497B0}" name="Tsi" dataDxfId="38">
      <calculatedColumnFormula>VLOOKUP(B:B,'[2]Hakata Island Team'!$E:$G,3,)</calculatedColumnFormula>
    </tableColumn>
    <tableColumn id="1" xr3:uid="{6289DCAB-1212-479F-A0D9-B3D335241B74}" name="Fleet" dataDxfId="37">
      <calculatedColumnFormula>VLOOKUP(B:B,'[2]Hakata Island Team'!$E:$H,4,)</calculatedColumnFormula>
    </tableColumn>
    <tableColumn id="10" xr3:uid="{D824C89B-50AF-446D-B8D2-3B0D524D1D37}" name="Certificate" dataDxfId="36"/>
    <tableColumn id="11" xr3:uid="{6CB6FD99-7C70-4ABD-9E80-030D10C40FDC}" name="Certificate Type" dataDxfId="35"/>
    <tableColumn id="12" xr3:uid="{47BF15A5-4200-420F-AEB7-D815FFBB2C4B}" name="Is vessel certificate ?" dataDxfId="34">
      <calculatedColumnFormula>TRUE()</calculatedColumnFormula>
    </tableColumn>
    <tableColumn id="13" xr3:uid="{47AFED04-FD2A-4990-B9AA-FFAF96465D15}" name="Status" dataDxfId="33"/>
    <tableColumn id="14" xr3:uid="{41207DA5-DFBF-43CE-9178-0B181B401D1C}" name="Expiry Date" dataDxfId="32"/>
    <tableColumn id="15" xr3:uid="{0A40E3B9-D531-4880-A49E-9357D827FB7C}" name="Due Status" dataDxfId="31"/>
    <tableColumn id="16" xr3:uid="{4F94A30A-6979-48FE-976A-AF1932BB142D}" name="Certificate Category" dataDxfId="30"/>
    <tableColumn id="17" xr3:uid="{230A693E-9781-4BA9-8380-EA4579FAA198}" name="Certificate No." dataDxfId="29"/>
    <tableColumn id="18" xr3:uid="{AAA2AB39-9B96-4EDD-8D0E-C0E36BD06167}" name="Is Survey Linked?" dataDxfId="28"/>
    <tableColumn id="19" xr3:uid="{2D7C551A-352E-46E6-8E4D-223493FEDD18}" name="Surveyed On" dataDxfId="27"/>
    <tableColumn id="20" xr3:uid="{FDA9AECC-88C3-4D20-AAC7-1E2DDC5B9CBE}" name="Extended Date"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3A27AF-72D7-4B7A-9241-6805F4BBBFDF}" name="Table16" displayName="Table16" ref="A2:U229" totalsRowShown="0" headerRowDxfId="25" dataDxfId="23" headerRowBorderDxfId="24" tableBorderDxfId="22" totalsRowBorderDxfId="21">
  <autoFilter ref="A2:U229" xr:uid="{333A27AF-72D7-4B7A-9241-6805F4BBBFDF}"/>
  <tableColumns count="21">
    <tableColumn id="2" xr3:uid="{425AC188-0E48-40FE-B4DD-01FB9752EA60}" name="Admin Sl No" dataDxfId="20"/>
    <tableColumn id="3" xr3:uid="{B9319795-CA8E-482C-BDE3-FA63D43A3B77}" name="Vessel Code" dataDxfId="19"/>
    <tableColumn id="4" xr3:uid="{40C64511-207C-46B4-B2BD-0EF876605A3C}" name="Vessel Name" dataDxfId="18"/>
    <tableColumn id="21" xr3:uid="{22606F01-6D4B-4BD1-A209-3EA6BDED4FC0}" name="Tsi" dataDxfId="17">
      <calculatedColumnFormula>VLOOKUP(B:B,'[2]Hakata Island Team'!$E:$G,3,)</calculatedColumnFormula>
    </tableColumn>
    <tableColumn id="1" xr3:uid="{1E9E58F6-6D54-4A3D-A2E4-898DA657905A}" name="Fleet" dataDxfId="16">
      <calculatedColumnFormula>VLOOKUP(B:B,'[2]Hakata Island Team'!$E:$H,4,)</calculatedColumnFormula>
    </tableColumn>
    <tableColumn id="5" xr3:uid="{18363A09-5D80-4175-8F96-3D4BF3B965B5}" name="Survey/Service Name" dataDxfId="15"/>
    <tableColumn id="6" xr3:uid="{20B33A43-0DA2-4460-8D29-84C044A2B0DC}" name="Survey Type" dataDxfId="14"/>
    <tableColumn id="7" xr3:uid="{151157F2-A694-404C-8DB1-EF09B1206265}" name="Due Date" dataDxfId="13"/>
    <tableColumn id="8" xr3:uid="{6EB7873B-7CB8-4895-A851-74B91368FFE8}" name="Certificate Name" dataDxfId="12"/>
    <tableColumn id="9" xr3:uid="{45072592-FD7A-448D-BAEA-BF558E0F01B2}" name="Surveying Authority" dataDxfId="11"/>
    <tableColumn id="10" xr3:uid="{04B06214-4E40-47F5-BF3B-E5703A8DCD45}" name="Surveyed By" dataDxfId="10"/>
    <tableColumn id="11" xr3:uid="{6EEE50D0-7013-46D0-ACCF-7D5F4B686598}" name="Frequency (Months)" dataDxfId="9"/>
    <tableColumn id="12" xr3:uid="{1F8C4F12-FB49-48D8-9DEE-E8B7AA9D88C3}" name="Window Period(-+)" dataDxfId="8"/>
    <tableColumn id="13" xr3:uid="{785EFFBA-1397-4495-97FA-81ECAFFA54C4}" name="Due Range" dataDxfId="7"/>
    <tableColumn id="14" xr3:uid="{61E719F6-C5D7-4D6A-9230-806AA6BCBA41}" name="Status" dataDxfId="6"/>
    <tableColumn id="15" xr3:uid="{86ACC91C-C3DF-4C98-9FF4-66A94BA8A530}" name="Due Status" dataDxfId="5"/>
    <tableColumn id="16" xr3:uid="{9017ED5B-6336-47EA-9BB1-54D3AF6CA0B8}" name="Surveyed On" dataDxfId="4"/>
    <tableColumn id="17" xr3:uid="{505696E5-2DBF-4DB6-A7AA-4FC95DAD29EB}" name="Extended Date" dataDxfId="3"/>
    <tableColumn id="18" xr3:uid="{192C6E0B-46C8-4E1A-A627-1ADF40F4BF9E}" name="Location" dataDxfId="2"/>
    <tableColumn id="19" xr3:uid="{2D82EE8C-DB1E-4203-92E6-80111547A5DA}" name="Completed Date" dataDxfId="1"/>
    <tableColumn id="20" xr3:uid="{698A168D-3A6B-4A91-A16B-D311945FA129}" name="Last Closed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B4042-A270-42A7-A618-8457785285EA}">
  <dimension ref="A1:K23"/>
  <sheetViews>
    <sheetView tabSelected="1" zoomScale="67" workbookViewId="0">
      <selection activeCell="M2" sqref="M2"/>
    </sheetView>
  </sheetViews>
  <sheetFormatPr defaultRowHeight="14.5" x14ac:dyDescent="0.35"/>
  <cols>
    <col min="1" max="1" width="13.36328125" customWidth="1"/>
    <col min="2" max="2" width="11.6328125" customWidth="1"/>
    <col min="3" max="11" width="12.453125" style="55" customWidth="1"/>
  </cols>
  <sheetData>
    <row r="1" spans="1:11" x14ac:dyDescent="0.35">
      <c r="A1" s="45"/>
      <c r="B1" s="46"/>
      <c r="C1" s="50"/>
      <c r="D1" s="50"/>
      <c r="E1" s="50" t="s">
        <v>2060</v>
      </c>
      <c r="F1" s="50"/>
      <c r="G1" s="50"/>
      <c r="H1" s="50"/>
      <c r="I1" s="50"/>
      <c r="J1" s="50"/>
      <c r="K1" s="50"/>
    </row>
    <row r="2" spans="1:11" ht="24" x14ac:dyDescent="0.35">
      <c r="A2" s="95" t="s">
        <v>2061</v>
      </c>
      <c r="B2" s="95" t="s">
        <v>2062</v>
      </c>
      <c r="C2" s="51" t="s">
        <v>2101</v>
      </c>
      <c r="D2" s="51" t="s">
        <v>2063</v>
      </c>
      <c r="E2" s="51" t="s">
        <v>2064</v>
      </c>
      <c r="F2" s="51" t="s">
        <v>2065</v>
      </c>
      <c r="G2" s="51" t="s">
        <v>2066</v>
      </c>
      <c r="H2" s="51" t="s">
        <v>2067</v>
      </c>
      <c r="I2" s="51" t="s">
        <v>2068</v>
      </c>
      <c r="J2" s="51" t="s">
        <v>2069</v>
      </c>
      <c r="K2" s="51" t="s">
        <v>2070</v>
      </c>
    </row>
    <row r="3" spans="1:11" ht="24.5" thickBot="1" x14ac:dyDescent="0.4">
      <c r="A3" s="96"/>
      <c r="B3" s="95"/>
      <c r="C3" s="51" t="s">
        <v>2104</v>
      </c>
      <c r="D3" s="51" t="s">
        <v>2071</v>
      </c>
      <c r="E3" s="51" t="s">
        <v>2072</v>
      </c>
      <c r="F3" s="51" t="s">
        <v>2073</v>
      </c>
      <c r="G3" s="51" t="s">
        <v>2074</v>
      </c>
      <c r="H3" s="51" t="s">
        <v>2075</v>
      </c>
      <c r="I3" s="51" t="s">
        <v>2076</v>
      </c>
      <c r="J3" s="51" t="s">
        <v>2077</v>
      </c>
      <c r="K3" s="51" t="s">
        <v>2078</v>
      </c>
    </row>
    <row r="4" spans="1:11" ht="15" thickBot="1" x14ac:dyDescent="0.4">
      <c r="A4" s="75" t="s">
        <v>2079</v>
      </c>
      <c r="B4" s="73"/>
      <c r="C4" s="58"/>
      <c r="D4" s="58"/>
      <c r="E4" s="58"/>
      <c r="F4" s="58"/>
      <c r="G4" s="58"/>
      <c r="H4" s="58"/>
      <c r="I4" s="58"/>
      <c r="J4" s="58"/>
      <c r="K4" s="58"/>
    </row>
    <row r="5" spans="1:11" ht="36" x14ac:dyDescent="0.35">
      <c r="A5" s="74"/>
      <c r="B5" s="61" t="s">
        <v>2080</v>
      </c>
      <c r="C5" s="89">
        <v>5</v>
      </c>
      <c r="D5" s="62">
        <v>9</v>
      </c>
      <c r="E5" s="62">
        <v>8</v>
      </c>
      <c r="F5" s="62">
        <v>7</v>
      </c>
      <c r="G5" s="62">
        <v>11</v>
      </c>
      <c r="H5" s="62">
        <v>20</v>
      </c>
      <c r="I5" s="63">
        <v>30</v>
      </c>
      <c r="J5" s="64">
        <v>19</v>
      </c>
      <c r="K5" s="65">
        <v>37</v>
      </c>
    </row>
    <row r="6" spans="1:11" ht="36" x14ac:dyDescent="0.35">
      <c r="A6" s="56"/>
      <c r="B6" s="66" t="s">
        <v>2081</v>
      </c>
      <c r="C6" s="90">
        <v>1</v>
      </c>
      <c r="D6" s="53">
        <v>1</v>
      </c>
      <c r="E6" s="53">
        <v>1</v>
      </c>
      <c r="F6" s="53" t="s">
        <v>2082</v>
      </c>
      <c r="G6" s="53" t="s">
        <v>2083</v>
      </c>
      <c r="H6" s="53">
        <v>2</v>
      </c>
      <c r="I6" s="52">
        <v>2</v>
      </c>
      <c r="J6" s="54">
        <v>1</v>
      </c>
      <c r="K6" s="67">
        <v>1</v>
      </c>
    </row>
    <row r="7" spans="1:11" ht="36" x14ac:dyDescent="0.35">
      <c r="A7" s="56"/>
      <c r="B7" s="66" t="s">
        <v>2084</v>
      </c>
      <c r="C7" s="90">
        <v>124</v>
      </c>
      <c r="D7" s="53">
        <v>256</v>
      </c>
      <c r="E7" s="53">
        <v>341</v>
      </c>
      <c r="F7" s="53">
        <v>356</v>
      </c>
      <c r="G7" s="53">
        <v>362</v>
      </c>
      <c r="H7" s="53">
        <v>383</v>
      </c>
      <c r="I7" s="52">
        <v>451</v>
      </c>
      <c r="J7" s="54">
        <v>391</v>
      </c>
      <c r="K7" s="67">
        <v>567</v>
      </c>
    </row>
    <row r="8" spans="1:11" ht="36" x14ac:dyDescent="0.35">
      <c r="A8" s="56"/>
      <c r="B8" s="66" t="s">
        <v>2085</v>
      </c>
      <c r="C8" s="90">
        <v>49</v>
      </c>
      <c r="D8" s="53">
        <v>143</v>
      </c>
      <c r="E8" s="53">
        <v>226</v>
      </c>
      <c r="F8" s="53">
        <v>241</v>
      </c>
      <c r="G8" s="53">
        <v>141</v>
      </c>
      <c r="H8" s="53">
        <v>141</v>
      </c>
      <c r="I8" s="52">
        <v>203</v>
      </c>
      <c r="J8" s="54">
        <v>186</v>
      </c>
      <c r="K8" s="67">
        <v>283</v>
      </c>
    </row>
    <row r="9" spans="1:11" ht="24" x14ac:dyDescent="0.35">
      <c r="A9" s="56"/>
      <c r="B9" s="66" t="s">
        <v>2086</v>
      </c>
      <c r="C9" s="90">
        <v>168</v>
      </c>
      <c r="D9" s="53">
        <v>178</v>
      </c>
      <c r="E9" s="53">
        <v>381</v>
      </c>
      <c r="F9" s="53">
        <v>295</v>
      </c>
      <c r="G9" s="53">
        <v>470</v>
      </c>
      <c r="H9" s="53">
        <v>457</v>
      </c>
      <c r="I9" s="52">
        <v>582</v>
      </c>
      <c r="J9" s="54">
        <v>407</v>
      </c>
      <c r="K9" s="67">
        <v>933</v>
      </c>
    </row>
    <row r="10" spans="1:11" ht="36" x14ac:dyDescent="0.35">
      <c r="A10" s="56"/>
      <c r="B10" s="66" t="s">
        <v>2087</v>
      </c>
      <c r="C10" s="90">
        <v>41</v>
      </c>
      <c r="D10" s="53">
        <v>60</v>
      </c>
      <c r="E10" s="53">
        <v>57</v>
      </c>
      <c r="F10" s="53">
        <v>117</v>
      </c>
      <c r="G10" s="53">
        <v>120</v>
      </c>
      <c r="H10" s="53">
        <v>164</v>
      </c>
      <c r="I10" s="52">
        <v>254</v>
      </c>
      <c r="J10" s="54">
        <v>292</v>
      </c>
      <c r="K10" s="67"/>
    </row>
    <row r="11" spans="1:11" ht="24.5" thickBot="1" x14ac:dyDescent="0.4">
      <c r="A11" s="77"/>
      <c r="B11" s="68" t="s">
        <v>2088</v>
      </c>
      <c r="C11" s="91">
        <v>32</v>
      </c>
      <c r="D11" s="69">
        <v>22</v>
      </c>
      <c r="E11" s="69">
        <v>19</v>
      </c>
      <c r="F11" s="69">
        <v>25</v>
      </c>
      <c r="G11" s="69">
        <v>30</v>
      </c>
      <c r="H11" s="69">
        <v>38</v>
      </c>
      <c r="I11" s="70">
        <v>78</v>
      </c>
      <c r="J11" s="71">
        <v>101</v>
      </c>
      <c r="K11" s="72"/>
    </row>
    <row r="12" spans="1:11" ht="32" customHeight="1" thickBot="1" x14ac:dyDescent="0.4">
      <c r="A12" s="75" t="s">
        <v>2089</v>
      </c>
      <c r="B12" s="78"/>
      <c r="C12" s="79"/>
      <c r="D12" s="79"/>
      <c r="E12" s="79"/>
      <c r="F12" s="79"/>
      <c r="G12" s="79"/>
      <c r="H12" s="79"/>
      <c r="I12" s="79"/>
      <c r="J12" s="79"/>
      <c r="K12" s="79"/>
    </row>
    <row r="13" spans="1:11" ht="24" x14ac:dyDescent="0.35">
      <c r="A13" s="74"/>
      <c r="B13" s="61" t="s">
        <v>2090</v>
      </c>
      <c r="C13" s="89">
        <v>91</v>
      </c>
      <c r="D13" s="62">
        <v>70</v>
      </c>
      <c r="E13" s="62">
        <v>111</v>
      </c>
      <c r="F13" s="62">
        <v>106</v>
      </c>
      <c r="G13" s="62">
        <v>130</v>
      </c>
      <c r="H13" s="62">
        <v>172</v>
      </c>
      <c r="I13" s="63">
        <v>205</v>
      </c>
      <c r="J13" s="64">
        <v>206</v>
      </c>
      <c r="K13" s="65">
        <v>280</v>
      </c>
    </row>
    <row r="14" spans="1:11" ht="36" x14ac:dyDescent="0.35">
      <c r="A14" s="56"/>
      <c r="B14" s="66" t="s">
        <v>2091</v>
      </c>
      <c r="C14" s="90">
        <v>131</v>
      </c>
      <c r="D14" s="53">
        <v>152</v>
      </c>
      <c r="E14" s="53">
        <v>239</v>
      </c>
      <c r="F14" s="53">
        <v>232</v>
      </c>
      <c r="G14" s="53">
        <v>174</v>
      </c>
      <c r="H14" s="53">
        <v>147</v>
      </c>
      <c r="I14" s="52">
        <v>29</v>
      </c>
      <c r="J14" s="54">
        <v>307</v>
      </c>
      <c r="K14" s="67">
        <v>398</v>
      </c>
    </row>
    <row r="15" spans="1:11" ht="24.5" thickBot="1" x14ac:dyDescent="0.4">
      <c r="A15" s="77"/>
      <c r="B15" s="68" t="s">
        <v>2092</v>
      </c>
      <c r="C15" s="91">
        <v>227</v>
      </c>
      <c r="D15" s="69">
        <v>278</v>
      </c>
      <c r="E15" s="69">
        <v>320</v>
      </c>
      <c r="F15" s="69">
        <v>305</v>
      </c>
      <c r="G15" s="69">
        <v>323</v>
      </c>
      <c r="H15" s="69">
        <v>319</v>
      </c>
      <c r="I15" s="70">
        <v>343</v>
      </c>
      <c r="J15" s="71">
        <v>327</v>
      </c>
      <c r="K15" s="72">
        <v>354</v>
      </c>
    </row>
    <row r="16" spans="1:11" ht="15" thickBot="1" x14ac:dyDescent="0.4">
      <c r="A16" s="75" t="s">
        <v>1801</v>
      </c>
      <c r="B16" s="78"/>
      <c r="C16" s="79"/>
      <c r="D16" s="79"/>
      <c r="E16" s="79"/>
      <c r="F16" s="79"/>
      <c r="G16" s="79"/>
      <c r="H16" s="79"/>
      <c r="I16" s="79"/>
      <c r="J16" s="79"/>
      <c r="K16" s="79"/>
    </row>
    <row r="17" spans="1:11" ht="15" thickBot="1" x14ac:dyDescent="0.4">
      <c r="A17" s="74"/>
      <c r="B17" s="80" t="s">
        <v>2093</v>
      </c>
      <c r="C17" s="92">
        <v>21</v>
      </c>
      <c r="D17" s="81">
        <v>19</v>
      </c>
      <c r="E17" s="81">
        <v>26</v>
      </c>
      <c r="F17" s="81">
        <v>41</v>
      </c>
      <c r="G17" s="81">
        <v>42</v>
      </c>
      <c r="H17" s="81">
        <v>47</v>
      </c>
      <c r="I17" s="82">
        <v>41</v>
      </c>
      <c r="J17" s="83">
        <v>17</v>
      </c>
      <c r="K17" s="84">
        <v>90</v>
      </c>
    </row>
    <row r="18" spans="1:11" ht="15" thickBot="1" x14ac:dyDescent="0.4">
      <c r="A18" s="57"/>
      <c r="B18" s="59"/>
      <c r="C18" s="60"/>
      <c r="D18" s="60"/>
      <c r="E18" s="60"/>
      <c r="F18" s="60"/>
      <c r="G18" s="60"/>
      <c r="H18" s="60"/>
      <c r="I18" s="60"/>
      <c r="J18" s="60"/>
      <c r="K18" s="60"/>
    </row>
    <row r="19" spans="1:11" ht="15" thickBot="1" x14ac:dyDescent="0.4">
      <c r="A19" s="75" t="s">
        <v>2094</v>
      </c>
      <c r="B19" s="73"/>
      <c r="C19" s="58"/>
      <c r="D19" s="58"/>
      <c r="E19" s="58"/>
      <c r="F19" s="58"/>
      <c r="G19" s="58"/>
      <c r="H19" s="58"/>
      <c r="I19" s="58"/>
      <c r="J19" s="58"/>
      <c r="K19" s="58"/>
    </row>
    <row r="20" spans="1:11" x14ac:dyDescent="0.35">
      <c r="A20" s="74"/>
      <c r="B20" s="61" t="s">
        <v>2095</v>
      </c>
      <c r="C20" s="89">
        <v>11</v>
      </c>
      <c r="D20" s="62">
        <v>9</v>
      </c>
      <c r="E20" s="62">
        <v>18</v>
      </c>
      <c r="F20" s="62">
        <v>36</v>
      </c>
      <c r="G20" s="62">
        <v>15</v>
      </c>
      <c r="H20" s="62">
        <v>17</v>
      </c>
      <c r="I20" s="63">
        <v>19</v>
      </c>
      <c r="J20" s="63"/>
      <c r="K20" s="65">
        <v>152</v>
      </c>
    </row>
    <row r="21" spans="1:11" ht="24.5" thickBot="1" x14ac:dyDescent="0.4">
      <c r="A21" s="77"/>
      <c r="B21" s="68" t="s">
        <v>2096</v>
      </c>
      <c r="C21" s="91">
        <v>6</v>
      </c>
      <c r="D21" s="69">
        <v>9</v>
      </c>
      <c r="E21" s="69">
        <v>18</v>
      </c>
      <c r="F21" s="69">
        <v>30</v>
      </c>
      <c r="G21" s="69">
        <v>22</v>
      </c>
      <c r="H21" s="69">
        <v>20</v>
      </c>
      <c r="I21" s="70">
        <v>14</v>
      </c>
      <c r="J21" s="71">
        <v>15</v>
      </c>
      <c r="K21" s="72">
        <v>43</v>
      </c>
    </row>
    <row r="22" spans="1:11" ht="36.5" thickBot="1" x14ac:dyDescent="0.4">
      <c r="A22" s="75" t="s">
        <v>2097</v>
      </c>
      <c r="B22" s="80" t="s">
        <v>2098</v>
      </c>
      <c r="C22" s="93">
        <v>15</v>
      </c>
      <c r="D22" s="87">
        <v>27</v>
      </c>
      <c r="E22" s="87">
        <v>32</v>
      </c>
      <c r="F22" s="88">
        <v>70</v>
      </c>
      <c r="G22" s="81">
        <v>35</v>
      </c>
      <c r="H22" s="81">
        <v>43</v>
      </c>
      <c r="I22" s="82">
        <v>15</v>
      </c>
      <c r="J22" s="83">
        <v>67</v>
      </c>
      <c r="K22" s="84"/>
    </row>
    <row r="23" spans="1:11" ht="24.5" thickBot="1" x14ac:dyDescent="0.4">
      <c r="A23" s="75" t="s">
        <v>2099</v>
      </c>
      <c r="B23" s="76" t="s">
        <v>2100</v>
      </c>
      <c r="C23" s="94">
        <v>93</v>
      </c>
      <c r="D23" s="85">
        <v>132</v>
      </c>
      <c r="E23" s="85">
        <v>131</v>
      </c>
      <c r="F23" s="85">
        <v>145</v>
      </c>
      <c r="G23" s="85">
        <v>99</v>
      </c>
      <c r="H23" s="85">
        <v>100</v>
      </c>
      <c r="I23" s="60">
        <v>135</v>
      </c>
      <c r="J23" s="86">
        <v>173</v>
      </c>
      <c r="K23" s="60"/>
    </row>
  </sheetData>
  <mergeCells count="2">
    <mergeCell ref="A2:A3"/>
    <mergeCell ref="B2:B3"/>
  </mergeCells>
  <hyperlinks>
    <hyperlink ref="H5" location="'Critical Jobs &gt; 10 Days'!A1" display="'Critical Jobs &gt; 10 Days'!A1" xr:uid="{DB2C45D7-6733-482F-A397-F420E82D86A0}"/>
    <hyperlink ref="H6" location="' Critical Jobs &gt; 200 Hrs'!A1" display="' Critical Jobs &gt; 200 Hrs'!A1" xr:uid="{61C61F02-96F9-4397-8D46-916C8B07C90B}"/>
    <hyperlink ref="H7" location="'Non Critical Jobs &gt; 1 Month'!A1" display="'Non Critical Jobs &gt; 1 Month'!A1" xr:uid="{A13E8ECD-B49A-42FA-A9B5-8848E39ECA65}"/>
    <hyperlink ref="H8" location="'Non-Critical Jobs &gt; 500 Hrs'!A1" display="'Non-Critical Jobs &gt; 500 Hrs'!A1" xr:uid="{102C206B-46E1-4B96-9D0A-ED27842DC6AF}"/>
    <hyperlink ref="H9" location="'Counters Not Updated'!A1" display="'Counters Not Updated'!A1" xr:uid="{F911EB38-EA2B-4AB7-925F-F643FCEA19D6}"/>
    <hyperlink ref="H10" location="'Critical Spares &lt; Min. Stock'!A1" display="'Critical Spares &lt; Min. Stock'!A1" xr:uid="{C47E47B9-251F-4C05-A30F-86ECCB04ACE8}"/>
    <hyperlink ref="H11" location="'WO''s Awaiting Approval'!A1" display="'WO''s Awaiting Approval'!A1" xr:uid="{00547483-07AE-4094-934B-D74703BE88E1}"/>
    <hyperlink ref="H13" location="'Expired Certificates'!A1" display="'Expired Certificates'!A1" xr:uid="{825FB9D5-8C23-4635-B740-37DEAC6D875A}"/>
    <hyperlink ref="H14" location="'WO''s Awaiting Approval'!A1" display="'WO''s Awaiting Approval'!A1" xr:uid="{89A49E05-7E03-44DC-ACF3-2479E43692EF}"/>
    <hyperlink ref="H15" location="'Overdue Surveys'!A1" display="'Overdue Surveys'!A1" xr:uid="{42719C33-74BB-41A3-ADF3-2738FF6C8D44}"/>
    <hyperlink ref="H17" location="'Expired Defects'!A1" display="'Expired Defects'!A1" xr:uid="{9CB6D571-F9E6-4DFB-AB02-96167653A2EE}"/>
    <hyperlink ref="H20" location="'VIR Reports'!A1" display="'VIR Reports'!A1" xr:uid="{C387D0BC-CF18-4A4B-80F3-8D1364F119D4}"/>
    <hyperlink ref="H21" location="'VIR Reports'!A1" display="'VIR Reports'!A1" xr:uid="{8831061F-11BE-436E-AE38-8FFA50CBDF59}"/>
    <hyperlink ref="H22" location="'Audit Reports'!A1" display="'Audit Reports'!A1" xr:uid="{81DD02B5-760E-4F76-BCEA-201D4425C3DD}"/>
    <hyperlink ref="H23" location="'All inspections'!A1" display="'All inspections'!A1" xr:uid="{D412A6C9-63F1-47AC-94CD-A5A08FB40C99}"/>
    <hyperlink ref="G5" location="'Critical Jobs &gt; 10 Days'!A1" display="'Critical Jobs &gt; 10 Days'!A1" xr:uid="{D73FF247-73CC-46C7-B0EE-510E969CFE0C}"/>
    <hyperlink ref="G7" location="'Non Critical Jobs &gt; 1 Month'!A1" display="'Non Critical Jobs &gt; 1 Month'!A1" xr:uid="{EC8D3139-0A9F-476A-B940-D9ED3179F396}"/>
    <hyperlink ref="G8" location="'Non-Critical Jobs &gt; 500 Hrs'!A1" display="'Non-Critical Jobs &gt; 500 Hrs'!A1" xr:uid="{9144F9F3-AC45-45C1-B028-C502D8131946}"/>
    <hyperlink ref="G9" location="'Counters Not Updated'!A1" display="'Counters Not Updated'!A1" xr:uid="{3BEB355D-CF32-4C86-AF53-9B7443CB0E13}"/>
    <hyperlink ref="G10" location="'Critical Spares &lt; Min. Stock'!A1" display="'Critical Spares &lt; Min. Stock'!A1" xr:uid="{B2E8F36A-B5EB-403B-9730-9F6CF64251BA}"/>
    <hyperlink ref="G11" location="'WO''s Awaiting Approval'!A1" display="'WO''s Awaiting Approval'!A1" xr:uid="{6F74F3AD-B8EA-4E7A-A0AA-50AE12553DA6}"/>
    <hyperlink ref="G13" location="'Expired Certificates'!A1" display="'Expired Certificates'!A1" xr:uid="{BA171E2C-062D-4257-A92A-DB255C19CDEF}"/>
    <hyperlink ref="G14" location="'Certificates Awaiting Approval'!A1" display="'Certificates Awaiting Approval'!A1" xr:uid="{4D41A1C8-E3F2-48F5-AFC6-0110F10D50D4}"/>
    <hyperlink ref="G15" location="'Overdue Surveys'!A1" display="'Overdue Surveys'!A1" xr:uid="{896F0CC0-0A12-41B7-94F2-959E40AB8BEC}"/>
    <hyperlink ref="G17" location="'Expired Defects'!A1" display="'Expired Defects'!A1" xr:uid="{3BB2ED14-3FFF-4CBB-BE0D-9630BBB724AA}"/>
    <hyperlink ref="G20" location="'Vir defects'!A1" display="'Vir defects'!A1" xr:uid="{57BC64C3-BF48-4014-A8B4-736BE26EFC3A}"/>
    <hyperlink ref="G21" location="'VIR Reports'!A1" display="'VIR Reports'!A1" xr:uid="{F3D9672F-F3AC-4B4B-B0A3-95FC9B1DC676}"/>
    <hyperlink ref="G22" location="'Audit reports'!A1" display="'Audit reports'!A1" xr:uid="{7D4C2404-20B2-48DF-981D-DE7607B79A0F}"/>
    <hyperlink ref="G23" location="'All inspections'!A1" display="'All inspections'!A1" xr:uid="{BC064B9D-8685-4C7E-9199-DB1B7BE191D0}"/>
    <hyperlink ref="G6" location="' Critical Jobs &gt; 200 Hrs'!A1" display="Nil " xr:uid="{725907CC-1FB1-45C0-82C3-D99FFF9253A2}"/>
    <hyperlink ref="F5" location="'Critical Jobs &gt; 10 Days'!A1" display="'Critical Jobs &gt; 10 Days'!A1" xr:uid="{B8324CC3-1A1F-4865-AD6B-0FCDA58C442A}"/>
    <hyperlink ref="F6" location="' Critical Jobs &gt; 200 Hrs'!A1" display="Nil" xr:uid="{D6C73175-04E7-4D66-B57D-D807F2236D5E}"/>
    <hyperlink ref="F7" location="'Non Critical Jobs &gt; 1 Month'!A1" display="'Non Critical Jobs &gt; 1 Month'!A1" xr:uid="{BD517984-1D09-4595-AE30-C14476ABCE5D}"/>
    <hyperlink ref="F8" location="'Non-Critical Jobs &gt; 500 Hrs'!A1" display="'Non-Critical Jobs &gt; 500 Hrs'!A1" xr:uid="{16ACE3CD-25FC-45EF-B46D-53C2CE500AEB}"/>
    <hyperlink ref="F9" location="'Counters Not Updated'!A1" display="'Counters Not Updated'!A1" xr:uid="{F6AD6512-2D92-4015-BA8F-B3A0DF6AB496}"/>
    <hyperlink ref="F10" location="'Critical Spares &lt; Min. Stock'!A1" display="'Critical Spares &lt; Min. Stock'!A1" xr:uid="{DB8BF5C3-6F50-4BC1-949B-142816C3A97F}"/>
    <hyperlink ref="F11" location="'WO''s Awaiting Approval'!A1" display="'WO''s Awaiting Approval'!A1" xr:uid="{DE884E04-AA97-4EA4-AAFD-9B292A7BD105}"/>
    <hyperlink ref="F13" location="'Expired Certificates'!A1" display="'Expired Certificates'!A1" xr:uid="{83FC169D-0634-4B2A-9A7A-300A2686B11C}"/>
    <hyperlink ref="F14" location="'Certificates Awaiting Approval'!A1" display="'Certificates Awaiting Approval'!A1" xr:uid="{9C2F5372-948C-4A10-9DDC-14F3CC763F9F}"/>
    <hyperlink ref="F15" location="'Overdue Surveys'!A1" display="'Overdue Surveys'!A1" xr:uid="{0D65961A-E7B2-4876-BCB6-B9C34B0B135B}"/>
    <hyperlink ref="F17" location="'Expired Defects'!A1" display="'Expired Defects'!A1" xr:uid="{46F93F2F-04DB-497C-8A35-487F06C11199}"/>
    <hyperlink ref="F20" location="'Vir defects'!A1" display="'Vir defects'!A1" xr:uid="{D104B39D-BB05-4386-BFB4-E1666574AF69}"/>
    <hyperlink ref="F21" location="'VIR Reports'!A1" display="'VIR Reports'!A1" xr:uid="{7BAF50C8-8929-423C-9E23-44A69823FFAE}"/>
    <hyperlink ref="F22" location="'Audit Reports'!A1" display="'Audit Reports'!A1" xr:uid="{42FCA4AD-61EB-4936-A856-8EC4A6FB642A}"/>
    <hyperlink ref="F23" location="'All Inspections'!A1" display="'All Inspections'!A1" xr:uid="{9F9EFE4E-0282-45AE-A7BD-26EBF443A1AB}"/>
    <hyperlink ref="E5" location="'Critical Jobs &gt; 10 Days'!A1" display="'Critical Jobs &gt; 10 Days'!A1" xr:uid="{46CBE4CD-23F3-4BAE-BAE6-7F490BBD577F}"/>
    <hyperlink ref="E6" location="' Critical Jobs &gt; 200 Hrs'!A1" display="' Critical Jobs &gt; 200 Hrs'!A1" xr:uid="{00416F67-EDC9-4047-AB14-2132EC4787A5}"/>
    <hyperlink ref="E7" location="'Non Critical Jobs &gt; 1 Month'!A1" display="'Non Critical Jobs &gt; 1 Month'!A1" xr:uid="{F10923CE-8C8B-4662-982C-525EA505C8A6}"/>
    <hyperlink ref="E8" location="'Non-Critical Jobs &gt; 500 Hrs'!A1" display="'Non-Critical Jobs &gt; 500 Hrs'!A1" xr:uid="{03F3D7B6-C628-40CC-A637-5A574044D866}"/>
    <hyperlink ref="E9" location="'Counters Not Updated'!A1" display="'Counters Not Updated'!A1" xr:uid="{6CD3050E-C7FF-4C5F-AFAA-CC5B8E7CAC4B}"/>
    <hyperlink ref="E10" location="'Critical Spares &lt; Min. Stock'!A1" display="'Critical Spares &lt; Min. Stock'!A1" xr:uid="{50E42AA9-CCCE-447C-93E5-BB079A9036B9}"/>
    <hyperlink ref="E11" location="'WO''s Awaiting Approval'!A1" display="'WO''s Awaiting Approval'!A1" xr:uid="{A5019A69-6DF5-4E2C-A3C7-401C943B8581}"/>
    <hyperlink ref="E13" location="'Expired Certificates'!A1" display="'Expired Certificates'!A1" xr:uid="{CD6D38C4-2B35-4EF7-A255-A4218591F1E5}"/>
    <hyperlink ref="E14" location="'Certificates Awaiting Approval'!A1" display="'Certificates Awaiting Approval'!A1" xr:uid="{80005D8D-F866-4BCF-B6CC-FAA79B7E7E36}"/>
    <hyperlink ref="E15" location="'Overdue Surveys'!A1" display="'Overdue Surveys'!A1" xr:uid="{AF03FD85-A58B-40B2-9879-F8CE0AE11F6C}"/>
    <hyperlink ref="E17" location="'Expired Defects'!A1" display="'Expired Defects'!A1" xr:uid="{BEAA919C-5574-4E1B-9063-AC04E447B2ED}"/>
    <hyperlink ref="E20" location="'Vir defects'!A1" display="'Vir defects'!A1" xr:uid="{1B7F3440-3E5F-45DF-A22C-5458DB59139F}"/>
    <hyperlink ref="E21" location="'VIR Reports'!A1" display="'VIR Reports'!A1" xr:uid="{5BEACD35-3ECF-4ECF-8424-7A53ACFC687F}"/>
    <hyperlink ref="E22" location="'Audit Reports'!A1" display="'Audit Reports'!A1" xr:uid="{C6B2B6EC-748F-4104-BDF1-B468F4218D1F}"/>
    <hyperlink ref="E23" location="'All inspections'!A1" display="'All inspections'!A1" xr:uid="{1C67C4C4-E1FB-4ED3-B4B2-E033D1BA0BFE}"/>
    <hyperlink ref="D5" location="'Critical Jobs &gt; 10 Days'!A1" display="'Critical Jobs &gt; 10 Days'!A1" xr:uid="{E02458E7-720C-4FD1-AC62-B78583F1A654}"/>
    <hyperlink ref="D6" location="' Critical Jobs &gt; 200 Hrs'!A1" display="' Critical Jobs &gt; 200 Hrs'!A1" xr:uid="{15364694-46F8-4773-A93B-FA9461FE3CC2}"/>
    <hyperlink ref="D7" location="'Non Critical Jobs &gt; 1 Month'!A1" display="'Non Critical Jobs &gt; 1 Month'!A1" xr:uid="{8AA43543-DD90-4DCC-9BDD-A8B6EEF06B9D}"/>
    <hyperlink ref="D8" location="'Non-Critical Jobs &gt; 500 Hrs'!A1" display="'Non-Critical Jobs &gt; 500 Hrs'!A1" xr:uid="{863F9DBB-68CB-4F1E-8A79-25B7BE155F28}"/>
    <hyperlink ref="D9" location="'Counters Not Updated'!A1" display="'Counters Not Updated'!A1" xr:uid="{BF59F3E2-61BC-41B3-A13F-1C961765F59F}"/>
    <hyperlink ref="D10" location="'Critical Spares &lt; Min. Stock'!A1" display="'Critical Spares &lt; Min. Stock'!A1" xr:uid="{F783E82C-B877-4436-A668-4691BC383F0F}"/>
    <hyperlink ref="D11" location="'WO''s Awaiting Approval'!A1" display="'WO''s Awaiting Approval'!A1" xr:uid="{6578E8FD-B3E5-493C-93EC-319270580BEB}"/>
    <hyperlink ref="D13" location="'Expired Certificates'!A1" display="'Expired Certificates'!A1" xr:uid="{4F3A6C3B-9D73-4768-B485-B67FAEAC4A58}"/>
    <hyperlink ref="D14" location="'Certificates Awaiting Approval'!A1" display="'Certificates Awaiting Approval'!A1" xr:uid="{75F1F0E5-846A-4D44-A0B1-06AEB8BD17B3}"/>
    <hyperlink ref="D15" location="'Overdue Surveys'!A1" display="'Overdue Surveys'!A1" xr:uid="{4DC2874F-8B63-4402-AD10-EE4FE5DC83E4}"/>
    <hyperlink ref="D17" location="'Expired Defects'!A1" display="'Expired Defects'!A1" xr:uid="{73BD9F7C-FA41-4DAD-B931-9A2EAE39C18F}"/>
    <hyperlink ref="D20" location="'Vir defects'!A1" display="'Vir defects'!A1" xr:uid="{CF1492DE-FF22-404E-B201-7E25A32EF37E}"/>
    <hyperlink ref="D21" location="'VIR Reports'!A1" display="'VIR Reports'!A1" xr:uid="{7045B49F-B500-4FA3-B3B9-112FCD7A75C8}"/>
    <hyperlink ref="D22" location="'Audit Reports'!A1" display="'Audit Reports'!A1" xr:uid="{229F75F7-9A72-4CF5-9B5F-8ED40E8AB965}"/>
    <hyperlink ref="D23" location="'All inspections'!A1" display="'All inspections'!A1" xr:uid="{D423EBBC-4CC9-46CC-AA3E-0EABE18E05A3}"/>
    <hyperlink ref="C5" location="'Critical Jobs &gt; 10 Days'!A1" display="'Critical Jobs &gt; 10 Days'!A1" xr:uid="{B30E10E8-242C-4E97-84A5-B04017EB1300}"/>
    <hyperlink ref="C6" location="' Critical Jobs &gt; 200 Hrs'!A1" display="' Critical Jobs &gt; 200 Hrs'!A1" xr:uid="{686D70A2-69DA-4C80-A5C1-47B6C209183E}"/>
    <hyperlink ref="C23" location="'All inspections'!A1" display="'All inspections'!A1" xr:uid="{1DCE9800-1097-4202-A1CD-A8B690794C67}"/>
    <hyperlink ref="C22" location="'Audit Reports'!A1" display="'Audit Reports'!A1" xr:uid="{E0C3F599-226D-4337-B234-155E24167B97}"/>
    <hyperlink ref="C21" location="'VIR Reports'!A1" display="'VIR Reports'!A1" xr:uid="{8CD8BFE8-430C-4060-824C-1C375DFEB232}"/>
    <hyperlink ref="C20" location="'Vir defects'!A1" display="'Vir defects'!A1" xr:uid="{4E634BCE-0B2B-47F4-960E-9D9566DF8EED}"/>
    <hyperlink ref="C17" location="'Expired Defects'!A1" display="'Expired Defects'!A1" xr:uid="{7619BD8C-5F42-4BD6-B1C9-A8D04B7D0371}"/>
    <hyperlink ref="C15" location="'Overdue Surveys'!A1" display="'Overdue Surveys'!A1" xr:uid="{3CB7F410-82E9-4D43-AFD9-853671C4A6EE}"/>
    <hyperlink ref="C14" location="'Certificates Awaiting Approval'!A1" display="'Certificates Awaiting Approval'!A1" xr:uid="{1130DCA9-7E39-46B4-9555-E7B7AEA75956}"/>
    <hyperlink ref="C13" location="'Expired Certificates'!A1" display="'Expired Certificates'!A1" xr:uid="{E6BE3139-B75C-49FC-A7E2-83CE09FFD1BE}"/>
    <hyperlink ref="C11" location="'WO''s Awaiting Approval'!A1" display="'WO''s Awaiting Approval'!A1" xr:uid="{06A8CDD3-216C-4946-8560-7CD2EA3911D8}"/>
    <hyperlink ref="C10" location="'Critical Spares &lt; Min. Stock'!A1" display="'Critical Spares &lt; Min. Stock'!A1" xr:uid="{551DDE40-15E5-4B3A-A20B-1C9B701AE34D}"/>
    <hyperlink ref="C9" location="'Counters Not Updated'!A1" display="'Counters Not Updated'!A1" xr:uid="{46286FA7-5935-46EE-81B4-B25A102E62AC}"/>
    <hyperlink ref="C8" location="'Non-Critical Jobs &gt; 500 Hrs'!A1" display="'Non-Critical Jobs &gt; 500 Hrs'!A1" xr:uid="{75EFD44B-BA08-4F87-8D75-D8B018140B1D}"/>
    <hyperlink ref="C7" location="'Non Critical Jobs &gt; 1 Month'!A1" display="'Non Critical Jobs &gt; 1 Month'!A1" xr:uid="{3AC973F1-6DE2-4E61-A84B-7AD58DD208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2327-64FB-45C5-8826-EA55E96F1421}">
  <dimension ref="A1:AI7"/>
  <sheetViews>
    <sheetView workbookViewId="0"/>
  </sheetViews>
  <sheetFormatPr defaultRowHeight="14.5" x14ac:dyDescent="0.35"/>
  <cols>
    <col min="1" max="1" width="11.08984375" customWidth="1"/>
    <col min="3" max="3" width="50.36328125" customWidth="1"/>
    <col min="5" max="5" width="16.1796875" customWidth="1"/>
    <col min="6" max="6" width="16.26953125" bestFit="1" customWidth="1"/>
    <col min="7" max="7" width="15.08984375" customWidth="1"/>
  </cols>
  <sheetData>
    <row r="1" spans="1:35" x14ac:dyDescent="0.35">
      <c r="F1" s="47" t="s">
        <v>2102</v>
      </c>
    </row>
    <row r="2" spans="1:35" s="4" customFormat="1" x14ac:dyDescent="0.35">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3" t="s">
        <v>34</v>
      </c>
    </row>
    <row r="3" spans="1:35" x14ac:dyDescent="0.35">
      <c r="A3" s="5" t="s">
        <v>35</v>
      </c>
      <c r="B3" s="6" t="s">
        <v>36</v>
      </c>
      <c r="C3" s="6" t="s">
        <v>37</v>
      </c>
      <c r="D3" s="6" t="s">
        <v>38</v>
      </c>
      <c r="E3" s="42" t="s">
        <v>803</v>
      </c>
      <c r="F3" s="42" t="s">
        <v>2018</v>
      </c>
      <c r="G3" s="42" t="s">
        <v>2006</v>
      </c>
      <c r="H3" s="6" t="s">
        <v>39</v>
      </c>
      <c r="I3" s="6" t="s">
        <v>40</v>
      </c>
      <c r="J3" s="6" t="s">
        <v>41</v>
      </c>
      <c r="K3" s="6" t="s">
        <v>42</v>
      </c>
      <c r="L3" s="6" t="s">
        <v>43</v>
      </c>
      <c r="M3" s="7">
        <v>45947</v>
      </c>
      <c r="N3" s="8">
        <v>0</v>
      </c>
      <c r="O3" s="9">
        <v>242</v>
      </c>
      <c r="P3" s="8">
        <v>0</v>
      </c>
      <c r="Q3" s="6" t="s">
        <v>44</v>
      </c>
      <c r="R3" s="6" t="s">
        <v>45</v>
      </c>
      <c r="S3" s="6" t="s">
        <v>45</v>
      </c>
      <c r="T3" s="6" t="s">
        <v>45</v>
      </c>
      <c r="U3" s="10">
        <v>1</v>
      </c>
      <c r="V3" s="6" t="s">
        <v>45</v>
      </c>
      <c r="W3" s="10">
        <v>0</v>
      </c>
      <c r="X3" s="6" t="s">
        <v>45</v>
      </c>
      <c r="Y3" s="6" t="s">
        <v>46</v>
      </c>
      <c r="Z3" s="6" t="s">
        <v>47</v>
      </c>
      <c r="AA3" s="10" t="b">
        <v>1</v>
      </c>
      <c r="AB3" s="10" t="b">
        <v>0</v>
      </c>
      <c r="AC3" s="10" t="b">
        <v>0</v>
      </c>
      <c r="AD3" s="7">
        <v>45582</v>
      </c>
      <c r="AE3" s="8">
        <v>0</v>
      </c>
      <c r="AF3" s="6" t="s">
        <v>48</v>
      </c>
      <c r="AG3" s="8">
        <v>0</v>
      </c>
      <c r="AH3" s="11"/>
      <c r="AI3" s="12">
        <v>0</v>
      </c>
    </row>
    <row r="4" spans="1:35" x14ac:dyDescent="0.35">
      <c r="A4" s="5" t="s">
        <v>49</v>
      </c>
      <c r="B4" s="6" t="s">
        <v>36</v>
      </c>
      <c r="C4" s="6" t="s">
        <v>50</v>
      </c>
      <c r="D4" s="6" t="s">
        <v>51</v>
      </c>
      <c r="E4" s="42" t="s">
        <v>2029</v>
      </c>
      <c r="F4" s="42" t="s">
        <v>2007</v>
      </c>
      <c r="G4" s="42" t="s">
        <v>2006</v>
      </c>
      <c r="H4" s="6" t="s">
        <v>45</v>
      </c>
      <c r="I4" s="6" t="s">
        <v>45</v>
      </c>
      <c r="J4" s="6" t="s">
        <v>41</v>
      </c>
      <c r="K4" s="6" t="s">
        <v>42</v>
      </c>
      <c r="L4" s="6" t="s">
        <v>52</v>
      </c>
      <c r="M4" s="7">
        <v>46152</v>
      </c>
      <c r="N4" s="8">
        <v>0</v>
      </c>
      <c r="O4" s="9">
        <v>36</v>
      </c>
      <c r="P4" s="8">
        <v>0</v>
      </c>
      <c r="Q4" s="6" t="s">
        <v>44</v>
      </c>
      <c r="R4" s="6" t="s">
        <v>45</v>
      </c>
      <c r="S4" s="6" t="s">
        <v>45</v>
      </c>
      <c r="T4" s="6" t="s">
        <v>45</v>
      </c>
      <c r="U4" s="10">
        <v>1</v>
      </c>
      <c r="V4" s="6" t="s">
        <v>45</v>
      </c>
      <c r="W4" s="10">
        <v>0</v>
      </c>
      <c r="X4" s="6" t="s">
        <v>45</v>
      </c>
      <c r="Y4" s="6" t="s">
        <v>46</v>
      </c>
      <c r="Z4" s="6" t="s">
        <v>45</v>
      </c>
      <c r="AA4" s="10" t="b">
        <v>0</v>
      </c>
      <c r="AB4" s="10" t="b">
        <v>0</v>
      </c>
      <c r="AC4" s="10" t="b">
        <v>0</v>
      </c>
      <c r="AD4" s="7">
        <v>45787</v>
      </c>
      <c r="AE4" s="8">
        <v>0</v>
      </c>
      <c r="AF4" s="6" t="s">
        <v>53</v>
      </c>
      <c r="AG4" s="8">
        <v>0</v>
      </c>
      <c r="AH4" s="11"/>
      <c r="AI4" s="12">
        <v>0</v>
      </c>
    </row>
    <row r="5" spans="1:35" x14ac:dyDescent="0.35">
      <c r="A5" s="5" t="s">
        <v>54</v>
      </c>
      <c r="B5" s="6" t="s">
        <v>36</v>
      </c>
      <c r="C5" s="6" t="s">
        <v>55</v>
      </c>
      <c r="D5" s="6" t="s">
        <v>56</v>
      </c>
      <c r="E5" s="42" t="s">
        <v>1099</v>
      </c>
      <c r="F5" s="42" t="s">
        <v>2018</v>
      </c>
      <c r="G5" s="42" t="s">
        <v>2006</v>
      </c>
      <c r="H5" s="6" t="s">
        <v>45</v>
      </c>
      <c r="I5" s="6" t="s">
        <v>45</v>
      </c>
      <c r="J5" s="6" t="s">
        <v>57</v>
      </c>
      <c r="K5" s="6" t="s">
        <v>42</v>
      </c>
      <c r="L5" s="6" t="s">
        <v>52</v>
      </c>
      <c r="M5" s="7">
        <v>46168</v>
      </c>
      <c r="N5" s="8">
        <v>0</v>
      </c>
      <c r="O5" s="9">
        <v>21</v>
      </c>
      <c r="P5" s="8">
        <v>0</v>
      </c>
      <c r="Q5" s="6" t="s">
        <v>58</v>
      </c>
      <c r="R5" s="6" t="s">
        <v>45</v>
      </c>
      <c r="S5" s="6" t="s">
        <v>45</v>
      </c>
      <c r="T5" s="6" t="s">
        <v>45</v>
      </c>
      <c r="U5" s="10">
        <v>1</v>
      </c>
      <c r="V5" s="6" t="s">
        <v>45</v>
      </c>
      <c r="W5" s="10">
        <v>0</v>
      </c>
      <c r="X5" s="6" t="s">
        <v>45</v>
      </c>
      <c r="Y5" s="6" t="s">
        <v>46</v>
      </c>
      <c r="Z5" s="6" t="s">
        <v>45</v>
      </c>
      <c r="AA5" s="10" t="b">
        <v>0</v>
      </c>
      <c r="AB5" s="10" t="b">
        <v>0</v>
      </c>
      <c r="AC5" s="10" t="b">
        <v>0</v>
      </c>
      <c r="AD5" s="7">
        <v>46079</v>
      </c>
      <c r="AE5" s="8">
        <v>0</v>
      </c>
      <c r="AF5" s="6" t="s">
        <v>59</v>
      </c>
      <c r="AG5" s="8">
        <v>0</v>
      </c>
      <c r="AH5" s="11"/>
      <c r="AI5" s="12">
        <v>0</v>
      </c>
    </row>
    <row r="6" spans="1:35" x14ac:dyDescent="0.35">
      <c r="A6" s="5" t="s">
        <v>60</v>
      </c>
      <c r="B6" s="6" t="s">
        <v>36</v>
      </c>
      <c r="C6" s="6" t="s">
        <v>61</v>
      </c>
      <c r="D6" s="6" t="s">
        <v>62</v>
      </c>
      <c r="E6" s="42" t="s">
        <v>2058</v>
      </c>
      <c r="F6" s="42" t="s">
        <v>2020</v>
      </c>
      <c r="G6" s="42" t="s">
        <v>2001</v>
      </c>
      <c r="H6" s="6" t="s">
        <v>45</v>
      </c>
      <c r="I6" s="6" t="s">
        <v>45</v>
      </c>
      <c r="J6" s="6" t="s">
        <v>63</v>
      </c>
      <c r="K6" s="6" t="s">
        <v>42</v>
      </c>
      <c r="L6" s="6" t="s">
        <v>52</v>
      </c>
      <c r="M6" s="7">
        <v>46172</v>
      </c>
      <c r="N6" s="8">
        <v>0</v>
      </c>
      <c r="O6" s="9">
        <v>17</v>
      </c>
      <c r="P6" s="8">
        <v>0</v>
      </c>
      <c r="Q6" s="6" t="s">
        <v>64</v>
      </c>
      <c r="R6" s="6" t="s">
        <v>45</v>
      </c>
      <c r="S6" s="6" t="s">
        <v>45</v>
      </c>
      <c r="T6" s="6" t="s">
        <v>45</v>
      </c>
      <c r="U6" s="10">
        <v>1</v>
      </c>
      <c r="V6" s="6" t="s">
        <v>45</v>
      </c>
      <c r="W6" s="10">
        <v>0</v>
      </c>
      <c r="X6" s="6" t="s">
        <v>45</v>
      </c>
      <c r="Y6" s="6" t="s">
        <v>46</v>
      </c>
      <c r="Z6" s="6" t="s">
        <v>45</v>
      </c>
      <c r="AA6" s="10" t="b">
        <v>0</v>
      </c>
      <c r="AB6" s="10" t="b">
        <v>0</v>
      </c>
      <c r="AC6" s="10" t="b">
        <v>0</v>
      </c>
      <c r="AD6" s="7">
        <v>45442</v>
      </c>
      <c r="AE6" s="8">
        <v>0</v>
      </c>
      <c r="AF6" s="6" t="s">
        <v>65</v>
      </c>
      <c r="AG6" s="8">
        <v>0</v>
      </c>
      <c r="AH6" s="11"/>
      <c r="AI6" s="12">
        <v>0</v>
      </c>
    </row>
    <row r="7" spans="1:35" x14ac:dyDescent="0.35">
      <c r="A7" s="5" t="s">
        <v>66</v>
      </c>
      <c r="B7" s="6" t="s">
        <v>36</v>
      </c>
      <c r="C7" s="6" t="s">
        <v>55</v>
      </c>
      <c r="D7" s="6" t="s">
        <v>67</v>
      </c>
      <c r="E7" s="42" t="s">
        <v>1033</v>
      </c>
      <c r="F7" s="42" t="s">
        <v>1997</v>
      </c>
      <c r="G7" s="42" t="s">
        <v>1996</v>
      </c>
      <c r="H7" s="6" t="s">
        <v>45</v>
      </c>
      <c r="I7" s="6" t="s">
        <v>45</v>
      </c>
      <c r="J7" s="6" t="s">
        <v>57</v>
      </c>
      <c r="K7" s="6" t="s">
        <v>42</v>
      </c>
      <c r="L7" s="6" t="s">
        <v>52</v>
      </c>
      <c r="M7" s="7">
        <v>46177</v>
      </c>
      <c r="N7" s="8">
        <v>0</v>
      </c>
      <c r="O7" s="9">
        <v>12</v>
      </c>
      <c r="P7" s="8">
        <v>0</v>
      </c>
      <c r="Q7" s="6" t="s">
        <v>58</v>
      </c>
      <c r="R7" s="6" t="s">
        <v>45</v>
      </c>
      <c r="S7" s="6" t="s">
        <v>45</v>
      </c>
      <c r="T7" s="6" t="s">
        <v>45</v>
      </c>
      <c r="U7" s="10">
        <v>1</v>
      </c>
      <c r="V7" s="6" t="s">
        <v>45</v>
      </c>
      <c r="W7" s="10">
        <v>0</v>
      </c>
      <c r="X7" s="6" t="s">
        <v>45</v>
      </c>
      <c r="Y7" s="6" t="s">
        <v>46</v>
      </c>
      <c r="Z7" s="6" t="s">
        <v>45</v>
      </c>
      <c r="AA7" s="10" t="b">
        <v>0</v>
      </c>
      <c r="AB7" s="10" t="b">
        <v>0</v>
      </c>
      <c r="AC7" s="10" t="b">
        <v>0</v>
      </c>
      <c r="AD7" s="7">
        <v>46085</v>
      </c>
      <c r="AE7" s="8">
        <v>0</v>
      </c>
      <c r="AF7" s="6" t="s">
        <v>68</v>
      </c>
      <c r="AG7" s="8">
        <v>0</v>
      </c>
      <c r="AH7" s="11"/>
      <c r="AI7" s="12">
        <v>0</v>
      </c>
    </row>
  </sheetData>
  <autoFilter ref="A2:AI2" xr:uid="{A4422327-64FB-45C5-8826-EA55E96F1421}"/>
  <hyperlinks>
    <hyperlink ref="F1" location="Summary!A1" display="Back to summary" xr:uid="{F23BCA98-75F9-416B-8A36-CAAC8293142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1631-7429-45D4-BA6E-8D9E17C94FCE}">
  <dimension ref="A1:AJ3"/>
  <sheetViews>
    <sheetView workbookViewId="0">
      <selection activeCell="G1" sqref="G1"/>
    </sheetView>
  </sheetViews>
  <sheetFormatPr defaultRowHeight="14.5" x14ac:dyDescent="0.35"/>
  <cols>
    <col min="1" max="1" width="10.1796875" bestFit="1" customWidth="1"/>
    <col min="2" max="2" width="9.36328125" bestFit="1" customWidth="1"/>
    <col min="3" max="3" width="47.7265625" customWidth="1"/>
  </cols>
  <sheetData>
    <row r="1" spans="1:36" x14ac:dyDescent="0.35">
      <c r="G1" s="48" t="s">
        <v>2103</v>
      </c>
    </row>
    <row r="2" spans="1:36" x14ac:dyDescent="0.35">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3" t="s">
        <v>34</v>
      </c>
      <c r="AJ2" s="4"/>
    </row>
    <row r="3" spans="1:36" x14ac:dyDescent="0.35">
      <c r="A3" s="5" t="s">
        <v>35</v>
      </c>
      <c r="B3" s="6" t="s">
        <v>36</v>
      </c>
      <c r="C3" s="6" t="s">
        <v>37</v>
      </c>
      <c r="D3" s="6" t="s">
        <v>38</v>
      </c>
      <c r="E3" s="42" t="s">
        <v>803</v>
      </c>
      <c r="F3" s="42" t="s">
        <v>2018</v>
      </c>
      <c r="G3" s="42" t="s">
        <v>2006</v>
      </c>
      <c r="H3" s="6" t="s">
        <v>39</v>
      </c>
      <c r="I3" s="6" t="s">
        <v>40</v>
      </c>
      <c r="J3" s="6" t="s">
        <v>41</v>
      </c>
      <c r="K3" s="6" t="s">
        <v>42</v>
      </c>
      <c r="L3" s="6" t="s">
        <v>43</v>
      </c>
      <c r="M3" s="7">
        <v>45947</v>
      </c>
      <c r="N3" s="8">
        <v>0</v>
      </c>
      <c r="O3" s="9">
        <v>242</v>
      </c>
      <c r="P3" s="8">
        <v>0</v>
      </c>
      <c r="Q3" s="6" t="s">
        <v>44</v>
      </c>
      <c r="R3" s="6" t="s">
        <v>45</v>
      </c>
      <c r="S3" s="6" t="s">
        <v>45</v>
      </c>
      <c r="T3" s="6" t="s">
        <v>45</v>
      </c>
      <c r="U3" s="10">
        <v>1</v>
      </c>
      <c r="V3" s="6" t="s">
        <v>45</v>
      </c>
      <c r="W3" s="10">
        <v>0</v>
      </c>
      <c r="X3" s="6" t="s">
        <v>45</v>
      </c>
      <c r="Y3" s="6" t="s">
        <v>46</v>
      </c>
      <c r="Z3" s="6" t="s">
        <v>47</v>
      </c>
      <c r="AA3" s="10" t="b">
        <v>1</v>
      </c>
      <c r="AB3" s="10" t="b">
        <v>0</v>
      </c>
      <c r="AC3" s="10" t="b">
        <v>0</v>
      </c>
      <c r="AD3" s="7">
        <v>45582</v>
      </c>
      <c r="AE3" s="8">
        <v>0</v>
      </c>
      <c r="AF3" s="6" t="s">
        <v>48</v>
      </c>
      <c r="AG3" s="8">
        <v>0</v>
      </c>
      <c r="AH3" s="11"/>
      <c r="AI3" s="12">
        <v>0</v>
      </c>
    </row>
  </sheetData>
  <autoFilter ref="A2:AJ2" xr:uid="{94121631-7429-45D4-BA6E-8D9E17C94FCE}"/>
  <hyperlinks>
    <hyperlink ref="G1" location="Summary!A1" display="Back to Summary" xr:uid="{351EF678-A6F0-42DC-939E-861B0516646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B38B-B7B1-4CEB-96F5-6D6210A66AE3}">
  <dimension ref="A1:AI126"/>
  <sheetViews>
    <sheetView topLeftCell="B1" workbookViewId="0">
      <selection activeCell="F1" sqref="F1"/>
    </sheetView>
  </sheetViews>
  <sheetFormatPr defaultRowHeight="14.5" x14ac:dyDescent="0.35"/>
  <cols>
    <col min="5" max="5" width="15" bestFit="1" customWidth="1"/>
    <col min="6" max="6" width="18.26953125" bestFit="1" customWidth="1"/>
    <col min="15" max="15" width="8.7265625" style="13"/>
  </cols>
  <sheetData>
    <row r="1" spans="1:35" x14ac:dyDescent="0.35">
      <c r="F1" s="49" t="s">
        <v>2102</v>
      </c>
    </row>
    <row r="2" spans="1:35" s="4" customFormat="1" x14ac:dyDescent="0.35">
      <c r="A2" s="1" t="s">
        <v>0</v>
      </c>
      <c r="B2" s="2" t="s">
        <v>1</v>
      </c>
      <c r="C2" s="2" t="s">
        <v>2</v>
      </c>
      <c r="D2" s="2" t="s">
        <v>3</v>
      </c>
      <c r="E2" s="2" t="s">
        <v>69</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3" t="s">
        <v>34</v>
      </c>
    </row>
    <row r="3" spans="1:35" x14ac:dyDescent="0.35">
      <c r="A3" s="5" t="s">
        <v>70</v>
      </c>
      <c r="B3" s="6" t="s">
        <v>45</v>
      </c>
      <c r="C3" s="6" t="s">
        <v>71</v>
      </c>
      <c r="D3" s="6" t="s">
        <v>72</v>
      </c>
      <c r="E3" s="42" t="s">
        <v>1709</v>
      </c>
      <c r="F3" s="42" t="s">
        <v>2016</v>
      </c>
      <c r="G3" s="42" t="s">
        <v>2014</v>
      </c>
      <c r="H3" s="6" t="s">
        <v>73</v>
      </c>
      <c r="I3" s="6" t="s">
        <v>74</v>
      </c>
      <c r="J3" s="6" t="s">
        <v>75</v>
      </c>
      <c r="K3" s="6" t="s">
        <v>42</v>
      </c>
      <c r="L3" s="6" t="s">
        <v>52</v>
      </c>
      <c r="M3" s="7">
        <v>44923</v>
      </c>
      <c r="N3" s="8">
        <v>8708</v>
      </c>
      <c r="O3" s="9">
        <v>1267</v>
      </c>
      <c r="P3" s="8">
        <v>28086</v>
      </c>
      <c r="Q3" s="6" t="s">
        <v>76</v>
      </c>
      <c r="R3" s="6" t="s">
        <v>45</v>
      </c>
      <c r="S3" s="6" t="s">
        <v>45</v>
      </c>
      <c r="T3" s="6" t="s">
        <v>45</v>
      </c>
      <c r="U3" s="10">
        <v>1</v>
      </c>
      <c r="V3" s="6" t="s">
        <v>45</v>
      </c>
      <c r="W3" s="10">
        <v>0</v>
      </c>
      <c r="X3" s="6" t="s">
        <v>45</v>
      </c>
      <c r="Y3" s="6" t="s">
        <v>46</v>
      </c>
      <c r="Z3" s="6" t="s">
        <v>45</v>
      </c>
      <c r="AA3" s="10" t="b">
        <v>0</v>
      </c>
      <c r="AB3" s="10" t="b">
        <v>0</v>
      </c>
      <c r="AC3" s="10" t="b">
        <v>0</v>
      </c>
      <c r="AD3" s="7">
        <v>46150</v>
      </c>
      <c r="AE3" s="8">
        <v>0</v>
      </c>
      <c r="AF3" s="6" t="s">
        <v>77</v>
      </c>
      <c r="AG3" s="8">
        <v>0</v>
      </c>
      <c r="AH3" s="11"/>
      <c r="AI3" s="12">
        <v>0</v>
      </c>
    </row>
    <row r="4" spans="1:35" x14ac:dyDescent="0.35">
      <c r="A4" s="5" t="s">
        <v>78</v>
      </c>
      <c r="B4" s="6" t="s">
        <v>45</v>
      </c>
      <c r="C4" s="6" t="s">
        <v>79</v>
      </c>
      <c r="D4" s="6" t="s">
        <v>72</v>
      </c>
      <c r="E4" s="42" t="s">
        <v>1709</v>
      </c>
      <c r="F4" s="42" t="s">
        <v>2016</v>
      </c>
      <c r="G4" s="42" t="s">
        <v>2014</v>
      </c>
      <c r="H4" s="6" t="s">
        <v>73</v>
      </c>
      <c r="I4" s="6" t="s">
        <v>74</v>
      </c>
      <c r="J4" s="6" t="s">
        <v>80</v>
      </c>
      <c r="K4" s="6" t="s">
        <v>42</v>
      </c>
      <c r="L4" s="6" t="s">
        <v>43</v>
      </c>
      <c r="M4" s="7">
        <v>44968</v>
      </c>
      <c r="N4" s="8">
        <v>9708</v>
      </c>
      <c r="O4" s="9">
        <v>1222</v>
      </c>
      <c r="P4" s="8">
        <v>27086</v>
      </c>
      <c r="Q4" s="6" t="s">
        <v>76</v>
      </c>
      <c r="R4" s="6" t="s">
        <v>45</v>
      </c>
      <c r="S4" s="6" t="s">
        <v>45</v>
      </c>
      <c r="T4" s="6" t="s">
        <v>45</v>
      </c>
      <c r="U4" s="10">
        <v>1</v>
      </c>
      <c r="V4" s="6" t="s">
        <v>45</v>
      </c>
      <c r="W4" s="10">
        <v>0</v>
      </c>
      <c r="X4" s="6" t="s">
        <v>45</v>
      </c>
      <c r="Y4" s="6" t="s">
        <v>46</v>
      </c>
      <c r="Z4" s="6" t="s">
        <v>45</v>
      </c>
      <c r="AA4" s="10" t="b">
        <v>0</v>
      </c>
      <c r="AB4" s="10" t="b">
        <v>0</v>
      </c>
      <c r="AC4" s="10" t="b">
        <v>0</v>
      </c>
      <c r="AD4" s="7">
        <v>46174</v>
      </c>
      <c r="AE4" s="8">
        <v>0</v>
      </c>
      <c r="AF4" s="6" t="s">
        <v>81</v>
      </c>
      <c r="AG4" s="8">
        <v>0</v>
      </c>
      <c r="AH4" s="11"/>
      <c r="AI4" s="12">
        <v>0</v>
      </c>
    </row>
    <row r="5" spans="1:35" x14ac:dyDescent="0.35">
      <c r="A5" s="5" t="s">
        <v>82</v>
      </c>
      <c r="B5" s="6" t="s">
        <v>45</v>
      </c>
      <c r="C5" s="6" t="s">
        <v>83</v>
      </c>
      <c r="D5" s="6" t="s">
        <v>84</v>
      </c>
      <c r="E5" s="42" t="s">
        <v>1517</v>
      </c>
      <c r="F5" s="42" t="s">
        <v>2017</v>
      </c>
      <c r="G5" s="42" t="s">
        <v>2014</v>
      </c>
      <c r="H5" s="6" t="s">
        <v>85</v>
      </c>
      <c r="I5" s="6" t="s">
        <v>86</v>
      </c>
      <c r="J5" s="6" t="s">
        <v>80</v>
      </c>
      <c r="K5" s="6" t="s">
        <v>42</v>
      </c>
      <c r="L5" s="6" t="s">
        <v>52</v>
      </c>
      <c r="M5" s="7">
        <v>45323</v>
      </c>
      <c r="N5" s="8">
        <v>44350</v>
      </c>
      <c r="O5" s="9">
        <v>867</v>
      </c>
      <c r="P5" s="8">
        <v>17122</v>
      </c>
      <c r="Q5" s="6" t="s">
        <v>76</v>
      </c>
      <c r="R5" s="6" t="s">
        <v>45</v>
      </c>
      <c r="S5" s="6" t="s">
        <v>45</v>
      </c>
      <c r="T5" s="6" t="s">
        <v>45</v>
      </c>
      <c r="U5" s="10">
        <v>1</v>
      </c>
      <c r="V5" s="6" t="s">
        <v>45</v>
      </c>
      <c r="W5" s="10">
        <v>0</v>
      </c>
      <c r="X5" s="6" t="s">
        <v>45</v>
      </c>
      <c r="Y5" s="6" t="s">
        <v>46</v>
      </c>
      <c r="Z5" s="6" t="s">
        <v>45</v>
      </c>
      <c r="AA5" s="10" t="b">
        <v>0</v>
      </c>
      <c r="AB5" s="10" t="b">
        <v>0</v>
      </c>
      <c r="AC5" s="10" t="b">
        <v>0</v>
      </c>
      <c r="AD5" s="7">
        <v>46187</v>
      </c>
      <c r="AE5" s="8">
        <v>42350</v>
      </c>
      <c r="AF5" s="6" t="s">
        <v>87</v>
      </c>
      <c r="AG5" s="8">
        <v>19122</v>
      </c>
      <c r="AH5" s="11"/>
      <c r="AI5" s="12">
        <v>0</v>
      </c>
    </row>
    <row r="6" spans="1:35" x14ac:dyDescent="0.35">
      <c r="A6" s="5" t="s">
        <v>88</v>
      </c>
      <c r="B6" s="6" t="s">
        <v>45</v>
      </c>
      <c r="C6" s="6" t="s">
        <v>89</v>
      </c>
      <c r="D6" s="6" t="s">
        <v>90</v>
      </c>
      <c r="E6" s="42" t="s">
        <v>2050</v>
      </c>
      <c r="F6" s="42" t="s">
        <v>2034</v>
      </c>
      <c r="G6" s="42" t="s">
        <v>2010</v>
      </c>
      <c r="H6" s="6" t="s">
        <v>91</v>
      </c>
      <c r="I6" s="6" t="s">
        <v>92</v>
      </c>
      <c r="J6" s="6" t="s">
        <v>93</v>
      </c>
      <c r="K6" s="6" t="s">
        <v>42</v>
      </c>
      <c r="L6" s="6" t="s">
        <v>52</v>
      </c>
      <c r="M6" s="7">
        <v>45485</v>
      </c>
      <c r="N6" s="8">
        <v>500</v>
      </c>
      <c r="O6" s="9">
        <v>704</v>
      </c>
      <c r="P6" s="8">
        <v>10654</v>
      </c>
      <c r="Q6" s="6" t="s">
        <v>94</v>
      </c>
      <c r="R6" s="6" t="s">
        <v>45</v>
      </c>
      <c r="S6" s="6" t="s">
        <v>45</v>
      </c>
      <c r="T6" s="6" t="s">
        <v>45</v>
      </c>
      <c r="U6" s="10">
        <v>1</v>
      </c>
      <c r="V6" s="6" t="s">
        <v>45</v>
      </c>
      <c r="W6" s="10">
        <v>0</v>
      </c>
      <c r="X6" s="6" t="s">
        <v>45</v>
      </c>
      <c r="Y6" s="6" t="s">
        <v>46</v>
      </c>
      <c r="Z6" s="6" t="s">
        <v>45</v>
      </c>
      <c r="AA6" s="10" t="b">
        <v>0</v>
      </c>
      <c r="AB6" s="10" t="b">
        <v>0</v>
      </c>
      <c r="AC6" s="10" t="b">
        <v>0</v>
      </c>
      <c r="AD6" s="7">
        <v>46166</v>
      </c>
      <c r="AE6" s="8">
        <v>10849</v>
      </c>
      <c r="AF6" s="6" t="s">
        <v>95</v>
      </c>
      <c r="AG6" s="8">
        <v>305</v>
      </c>
      <c r="AH6" s="11"/>
      <c r="AI6" s="12">
        <v>0</v>
      </c>
    </row>
    <row r="7" spans="1:35" x14ac:dyDescent="0.35">
      <c r="A7" s="5" t="s">
        <v>96</v>
      </c>
      <c r="B7" s="6" t="s">
        <v>45</v>
      </c>
      <c r="C7" s="6" t="s">
        <v>97</v>
      </c>
      <c r="D7" s="6" t="s">
        <v>98</v>
      </c>
      <c r="E7" s="42" t="s">
        <v>2053</v>
      </c>
      <c r="F7" s="42" t="s">
        <v>2005</v>
      </c>
      <c r="G7" s="42" t="s">
        <v>2006</v>
      </c>
      <c r="H7" s="6" t="s">
        <v>45</v>
      </c>
      <c r="I7" s="6" t="s">
        <v>45</v>
      </c>
      <c r="J7" s="6" t="s">
        <v>99</v>
      </c>
      <c r="K7" s="6" t="s">
        <v>42</v>
      </c>
      <c r="L7" s="6" t="s">
        <v>52</v>
      </c>
      <c r="M7" s="7">
        <v>45508</v>
      </c>
      <c r="N7" s="8">
        <v>0</v>
      </c>
      <c r="O7" s="9">
        <v>681</v>
      </c>
      <c r="P7" s="8">
        <v>0</v>
      </c>
      <c r="Q7" s="6" t="s">
        <v>44</v>
      </c>
      <c r="R7" s="6" t="s">
        <v>45</v>
      </c>
      <c r="S7" s="6" t="s">
        <v>100</v>
      </c>
      <c r="T7" s="6" t="s">
        <v>97</v>
      </c>
      <c r="U7" s="10">
        <v>1</v>
      </c>
      <c r="V7" s="6" t="s">
        <v>45</v>
      </c>
      <c r="W7" s="10">
        <v>0</v>
      </c>
      <c r="X7" s="6" t="s">
        <v>45</v>
      </c>
      <c r="Y7" s="6" t="s">
        <v>46</v>
      </c>
      <c r="Z7" s="6" t="s">
        <v>101</v>
      </c>
      <c r="AA7" s="10" t="b">
        <v>1</v>
      </c>
      <c r="AB7" s="10" t="b">
        <v>0</v>
      </c>
      <c r="AC7" s="10" t="b">
        <v>0</v>
      </c>
      <c r="AD7" s="7">
        <v>46136</v>
      </c>
      <c r="AE7" s="8">
        <v>0</v>
      </c>
      <c r="AF7" s="6" t="s">
        <v>102</v>
      </c>
      <c r="AG7" s="8">
        <v>0</v>
      </c>
      <c r="AH7" s="11"/>
      <c r="AI7" s="12">
        <v>0</v>
      </c>
    </row>
    <row r="8" spans="1:35" x14ac:dyDescent="0.35">
      <c r="A8" s="5" t="s">
        <v>103</v>
      </c>
      <c r="B8" s="6" t="s">
        <v>45</v>
      </c>
      <c r="C8" s="6" t="s">
        <v>104</v>
      </c>
      <c r="D8" s="6" t="s">
        <v>105</v>
      </c>
      <c r="E8" s="42" t="s">
        <v>2028</v>
      </c>
      <c r="F8" s="42" t="s">
        <v>2022</v>
      </c>
      <c r="G8" s="42" t="s">
        <v>2001</v>
      </c>
      <c r="H8" s="6" t="s">
        <v>106</v>
      </c>
      <c r="I8" s="6" t="s">
        <v>107</v>
      </c>
      <c r="J8" s="6" t="s">
        <v>108</v>
      </c>
      <c r="K8" s="6" t="s">
        <v>42</v>
      </c>
      <c r="L8" s="6" t="s">
        <v>52</v>
      </c>
      <c r="M8" s="7">
        <v>45526</v>
      </c>
      <c r="N8" s="8">
        <v>23269</v>
      </c>
      <c r="O8" s="9">
        <v>663</v>
      </c>
      <c r="P8" s="8">
        <v>9063</v>
      </c>
      <c r="Q8" s="6" t="s">
        <v>109</v>
      </c>
      <c r="R8" s="6" t="s">
        <v>45</v>
      </c>
      <c r="S8" s="6" t="s">
        <v>45</v>
      </c>
      <c r="T8" s="6" t="s">
        <v>45</v>
      </c>
      <c r="U8" s="10">
        <v>1</v>
      </c>
      <c r="V8" s="6" t="s">
        <v>45</v>
      </c>
      <c r="W8" s="10">
        <v>0</v>
      </c>
      <c r="X8" s="6" t="s">
        <v>45</v>
      </c>
      <c r="Y8" s="6" t="s">
        <v>46</v>
      </c>
      <c r="Z8" s="6" t="s">
        <v>45</v>
      </c>
      <c r="AA8" s="10" t="b">
        <v>0</v>
      </c>
      <c r="AB8" s="10" t="b">
        <v>0</v>
      </c>
      <c r="AC8" s="10" t="b">
        <v>0</v>
      </c>
      <c r="AD8" s="7">
        <v>46189</v>
      </c>
      <c r="AE8" s="8">
        <v>0</v>
      </c>
      <c r="AF8" s="6" t="s">
        <v>110</v>
      </c>
      <c r="AG8" s="8">
        <v>0</v>
      </c>
      <c r="AH8" s="11"/>
      <c r="AI8" s="12">
        <v>0</v>
      </c>
    </row>
    <row r="9" spans="1:35" x14ac:dyDescent="0.35">
      <c r="A9" s="5" t="s">
        <v>111</v>
      </c>
      <c r="B9" s="6" t="s">
        <v>45</v>
      </c>
      <c r="C9" s="6" t="s">
        <v>112</v>
      </c>
      <c r="D9" s="6" t="s">
        <v>113</v>
      </c>
      <c r="E9" s="42" t="s">
        <v>2030</v>
      </c>
      <c r="F9" s="42" t="s">
        <v>2007</v>
      </c>
      <c r="G9" s="42" t="s">
        <v>2006</v>
      </c>
      <c r="H9" s="6" t="s">
        <v>73</v>
      </c>
      <c r="I9" s="6" t="s">
        <v>74</v>
      </c>
      <c r="J9" s="6" t="s">
        <v>114</v>
      </c>
      <c r="K9" s="6" t="s">
        <v>42</v>
      </c>
      <c r="L9" s="6" t="s">
        <v>52</v>
      </c>
      <c r="M9" s="7">
        <v>45595</v>
      </c>
      <c r="N9" s="8">
        <v>8000</v>
      </c>
      <c r="O9" s="9">
        <v>594</v>
      </c>
      <c r="P9" s="8">
        <v>8420</v>
      </c>
      <c r="Q9" s="6" t="s">
        <v>76</v>
      </c>
      <c r="R9" s="6" t="s">
        <v>45</v>
      </c>
      <c r="S9" s="6" t="s">
        <v>45</v>
      </c>
      <c r="T9" s="6" t="s">
        <v>45</v>
      </c>
      <c r="U9" s="10">
        <v>1</v>
      </c>
      <c r="V9" s="6" t="s">
        <v>45</v>
      </c>
      <c r="W9" s="10">
        <v>0</v>
      </c>
      <c r="X9" s="6" t="s">
        <v>45</v>
      </c>
      <c r="Y9" s="6" t="s">
        <v>46</v>
      </c>
      <c r="Z9" s="6" t="s">
        <v>45</v>
      </c>
      <c r="AA9" s="10" t="b">
        <v>0</v>
      </c>
      <c r="AB9" s="10" t="b">
        <v>0</v>
      </c>
      <c r="AC9" s="10" t="b">
        <v>0</v>
      </c>
      <c r="AD9" s="7">
        <v>46180</v>
      </c>
      <c r="AE9" s="8">
        <v>0</v>
      </c>
      <c r="AF9" s="6" t="s">
        <v>115</v>
      </c>
      <c r="AG9" s="8">
        <v>0</v>
      </c>
      <c r="AH9" s="11"/>
      <c r="AI9" s="12">
        <v>0</v>
      </c>
    </row>
    <row r="10" spans="1:35" x14ac:dyDescent="0.35">
      <c r="A10" s="5" t="s">
        <v>116</v>
      </c>
      <c r="B10" s="6" t="s">
        <v>45</v>
      </c>
      <c r="C10" s="6" t="s">
        <v>117</v>
      </c>
      <c r="D10" s="6" t="s">
        <v>118</v>
      </c>
      <c r="E10" s="42" t="s">
        <v>1048</v>
      </c>
      <c r="F10" s="42" t="s">
        <v>2011</v>
      </c>
      <c r="G10" s="42" t="s">
        <v>1996</v>
      </c>
      <c r="H10" s="6" t="s">
        <v>45</v>
      </c>
      <c r="I10" s="6" t="s">
        <v>45</v>
      </c>
      <c r="J10" s="6" t="s">
        <v>99</v>
      </c>
      <c r="K10" s="6" t="s">
        <v>42</v>
      </c>
      <c r="L10" s="6" t="s">
        <v>52</v>
      </c>
      <c r="M10" s="7">
        <v>45661</v>
      </c>
      <c r="N10" s="8">
        <v>0</v>
      </c>
      <c r="O10" s="9">
        <v>529</v>
      </c>
      <c r="P10" s="8">
        <v>0</v>
      </c>
      <c r="Q10" s="6" t="s">
        <v>64</v>
      </c>
      <c r="R10" s="6" t="s">
        <v>45</v>
      </c>
      <c r="S10" s="6" t="s">
        <v>100</v>
      </c>
      <c r="T10" s="6" t="s">
        <v>119</v>
      </c>
      <c r="U10" s="10">
        <v>7</v>
      </c>
      <c r="V10" s="6" t="s">
        <v>45</v>
      </c>
      <c r="W10" s="10">
        <v>0</v>
      </c>
      <c r="X10" s="6" t="s">
        <v>45</v>
      </c>
      <c r="Y10" s="6" t="s">
        <v>46</v>
      </c>
      <c r="Z10" s="6" t="s">
        <v>120</v>
      </c>
      <c r="AA10" s="10" t="b">
        <v>1</v>
      </c>
      <c r="AB10" s="10" t="b">
        <v>0</v>
      </c>
      <c r="AC10" s="10" t="b">
        <v>0</v>
      </c>
      <c r="AD10" s="7">
        <v>46175</v>
      </c>
      <c r="AE10" s="8">
        <v>0</v>
      </c>
      <c r="AF10" s="6" t="s">
        <v>121</v>
      </c>
      <c r="AG10" s="8">
        <v>0</v>
      </c>
      <c r="AH10" s="11"/>
      <c r="AI10" s="12">
        <v>0</v>
      </c>
    </row>
    <row r="11" spans="1:35" x14ac:dyDescent="0.35">
      <c r="A11" s="5" t="s">
        <v>122</v>
      </c>
      <c r="B11" s="6" t="s">
        <v>45</v>
      </c>
      <c r="C11" s="6" t="s">
        <v>123</v>
      </c>
      <c r="D11" s="6" t="s">
        <v>124</v>
      </c>
      <c r="E11" s="42" t="s">
        <v>725</v>
      </c>
      <c r="F11" s="42" t="s">
        <v>2002</v>
      </c>
      <c r="G11" s="42" t="s">
        <v>1996</v>
      </c>
      <c r="H11" s="6" t="s">
        <v>45</v>
      </c>
      <c r="I11" s="6" t="s">
        <v>45</v>
      </c>
      <c r="J11" s="6" t="s">
        <v>125</v>
      </c>
      <c r="K11" s="6" t="s">
        <v>42</v>
      </c>
      <c r="L11" s="6" t="s">
        <v>52</v>
      </c>
      <c r="M11" s="7">
        <v>45682</v>
      </c>
      <c r="N11" s="8">
        <v>91811</v>
      </c>
      <c r="O11" s="9">
        <v>508</v>
      </c>
      <c r="P11" s="8">
        <v>8838</v>
      </c>
      <c r="Q11" s="6" t="s">
        <v>126</v>
      </c>
      <c r="R11" s="6" t="s">
        <v>45</v>
      </c>
      <c r="S11" s="6" t="s">
        <v>45</v>
      </c>
      <c r="T11" s="6" t="s">
        <v>45</v>
      </c>
      <c r="U11" s="10">
        <v>1</v>
      </c>
      <c r="V11" s="6" t="s">
        <v>45</v>
      </c>
      <c r="W11" s="10">
        <v>0</v>
      </c>
      <c r="X11" s="6" t="s">
        <v>45</v>
      </c>
      <c r="Y11" s="6" t="s">
        <v>46</v>
      </c>
      <c r="Z11" s="6" t="s">
        <v>45</v>
      </c>
      <c r="AA11" s="10" t="b">
        <v>0</v>
      </c>
      <c r="AB11" s="10" t="b">
        <v>0</v>
      </c>
      <c r="AC11" s="10" t="b">
        <v>0</v>
      </c>
      <c r="AD11" s="7">
        <v>45730</v>
      </c>
      <c r="AE11" s="8">
        <v>75811</v>
      </c>
      <c r="AF11" s="6" t="s">
        <v>127</v>
      </c>
      <c r="AG11" s="8">
        <v>24838</v>
      </c>
      <c r="AH11" s="11"/>
      <c r="AI11" s="12">
        <v>0</v>
      </c>
    </row>
    <row r="12" spans="1:35" x14ac:dyDescent="0.35">
      <c r="A12" s="5" t="s">
        <v>128</v>
      </c>
      <c r="B12" s="6" t="s">
        <v>45</v>
      </c>
      <c r="C12" s="6" t="s">
        <v>123</v>
      </c>
      <c r="D12" s="6" t="s">
        <v>124</v>
      </c>
      <c r="E12" s="42" t="s">
        <v>725</v>
      </c>
      <c r="F12" s="42" t="s">
        <v>2002</v>
      </c>
      <c r="G12" s="42" t="s">
        <v>1996</v>
      </c>
      <c r="H12" s="6" t="s">
        <v>45</v>
      </c>
      <c r="I12" s="6" t="s">
        <v>45</v>
      </c>
      <c r="J12" s="6" t="s">
        <v>125</v>
      </c>
      <c r="K12" s="6" t="s">
        <v>42</v>
      </c>
      <c r="L12" s="6" t="s">
        <v>52</v>
      </c>
      <c r="M12" s="7">
        <v>45682</v>
      </c>
      <c r="N12" s="8">
        <v>91811</v>
      </c>
      <c r="O12" s="9">
        <v>508</v>
      </c>
      <c r="P12" s="8">
        <v>8838</v>
      </c>
      <c r="Q12" s="6" t="s">
        <v>126</v>
      </c>
      <c r="R12" s="6" t="s">
        <v>45</v>
      </c>
      <c r="S12" s="6" t="s">
        <v>45</v>
      </c>
      <c r="T12" s="6" t="s">
        <v>45</v>
      </c>
      <c r="U12" s="10">
        <v>1</v>
      </c>
      <c r="V12" s="6" t="s">
        <v>45</v>
      </c>
      <c r="W12" s="10">
        <v>0</v>
      </c>
      <c r="X12" s="6" t="s">
        <v>45</v>
      </c>
      <c r="Y12" s="6" t="s">
        <v>46</v>
      </c>
      <c r="Z12" s="6" t="s">
        <v>45</v>
      </c>
      <c r="AA12" s="10" t="b">
        <v>0</v>
      </c>
      <c r="AB12" s="10" t="b">
        <v>0</v>
      </c>
      <c r="AC12" s="10" t="b">
        <v>0</v>
      </c>
      <c r="AD12" s="7">
        <v>45730</v>
      </c>
      <c r="AE12" s="8">
        <v>75811</v>
      </c>
      <c r="AF12" s="6" t="s">
        <v>127</v>
      </c>
      <c r="AG12" s="8">
        <v>24838</v>
      </c>
      <c r="AH12" s="11"/>
      <c r="AI12" s="12">
        <v>0</v>
      </c>
    </row>
    <row r="13" spans="1:35" x14ac:dyDescent="0.35">
      <c r="A13" s="5" t="s">
        <v>129</v>
      </c>
      <c r="B13" s="6" t="s">
        <v>45</v>
      </c>
      <c r="C13" s="6" t="s">
        <v>79</v>
      </c>
      <c r="D13" s="6" t="s">
        <v>130</v>
      </c>
      <c r="E13" s="42" t="s">
        <v>2044</v>
      </c>
      <c r="F13" s="42" t="s">
        <v>2034</v>
      </c>
      <c r="G13" s="42" t="s">
        <v>2010</v>
      </c>
      <c r="H13" s="6" t="s">
        <v>73</v>
      </c>
      <c r="I13" s="6" t="s">
        <v>74</v>
      </c>
      <c r="J13" s="6" t="s">
        <v>80</v>
      </c>
      <c r="K13" s="6" t="s">
        <v>42</v>
      </c>
      <c r="L13" s="6" t="s">
        <v>52</v>
      </c>
      <c r="M13" s="7">
        <v>45693</v>
      </c>
      <c r="N13" s="8">
        <v>2000</v>
      </c>
      <c r="O13" s="9">
        <v>496</v>
      </c>
      <c r="P13" s="8">
        <v>11174</v>
      </c>
      <c r="Q13" s="6" t="s">
        <v>76</v>
      </c>
      <c r="R13" s="6" t="s">
        <v>45</v>
      </c>
      <c r="S13" s="6" t="s">
        <v>45</v>
      </c>
      <c r="T13" s="6" t="s">
        <v>45</v>
      </c>
      <c r="U13" s="10">
        <v>1</v>
      </c>
      <c r="V13" s="6" t="s">
        <v>45</v>
      </c>
      <c r="W13" s="10">
        <v>0</v>
      </c>
      <c r="X13" s="6" t="s">
        <v>45</v>
      </c>
      <c r="Y13" s="6" t="s">
        <v>46</v>
      </c>
      <c r="Z13" s="6" t="s">
        <v>45</v>
      </c>
      <c r="AA13" s="10" t="b">
        <v>0</v>
      </c>
      <c r="AB13" s="10" t="b">
        <v>0</v>
      </c>
      <c r="AC13" s="10" t="b">
        <v>0</v>
      </c>
      <c r="AD13" s="7">
        <v>46092</v>
      </c>
      <c r="AE13" s="8">
        <v>10861</v>
      </c>
      <c r="AF13" s="6" t="s">
        <v>131</v>
      </c>
      <c r="AG13" s="8">
        <v>2313</v>
      </c>
      <c r="AH13" s="11"/>
      <c r="AI13" s="12">
        <v>0</v>
      </c>
    </row>
    <row r="14" spans="1:35" x14ac:dyDescent="0.35">
      <c r="A14" s="5" t="s">
        <v>132</v>
      </c>
      <c r="B14" s="6" t="s">
        <v>45</v>
      </c>
      <c r="C14" s="6" t="s">
        <v>123</v>
      </c>
      <c r="D14" s="6" t="s">
        <v>124</v>
      </c>
      <c r="E14" s="42" t="s">
        <v>725</v>
      </c>
      <c r="F14" s="42" t="s">
        <v>2002</v>
      </c>
      <c r="G14" s="42" t="s">
        <v>1996</v>
      </c>
      <c r="H14" s="6" t="s">
        <v>45</v>
      </c>
      <c r="I14" s="6" t="s">
        <v>45</v>
      </c>
      <c r="J14" s="6" t="s">
        <v>125</v>
      </c>
      <c r="K14" s="6" t="s">
        <v>42</v>
      </c>
      <c r="L14" s="6" t="s">
        <v>52</v>
      </c>
      <c r="M14" s="7">
        <v>45746</v>
      </c>
      <c r="N14" s="8">
        <v>92930</v>
      </c>
      <c r="O14" s="9">
        <v>444</v>
      </c>
      <c r="P14" s="8">
        <v>7719</v>
      </c>
      <c r="Q14" s="6" t="s">
        <v>126</v>
      </c>
      <c r="R14" s="6" t="s">
        <v>45</v>
      </c>
      <c r="S14" s="6" t="s">
        <v>45</v>
      </c>
      <c r="T14" s="6" t="s">
        <v>45</v>
      </c>
      <c r="U14" s="10">
        <v>1</v>
      </c>
      <c r="V14" s="6" t="s">
        <v>45</v>
      </c>
      <c r="W14" s="10">
        <v>0</v>
      </c>
      <c r="X14" s="6" t="s">
        <v>45</v>
      </c>
      <c r="Y14" s="6" t="s">
        <v>46</v>
      </c>
      <c r="Z14" s="6" t="s">
        <v>45</v>
      </c>
      <c r="AA14" s="10" t="b">
        <v>0</v>
      </c>
      <c r="AB14" s="10" t="b">
        <v>0</v>
      </c>
      <c r="AC14" s="10" t="b">
        <v>0</v>
      </c>
      <c r="AD14" s="7">
        <v>44825</v>
      </c>
      <c r="AE14" s="8">
        <v>76930</v>
      </c>
      <c r="AF14" s="6" t="s">
        <v>133</v>
      </c>
      <c r="AG14" s="8">
        <v>23719</v>
      </c>
      <c r="AH14" s="11"/>
      <c r="AI14" s="12">
        <v>0</v>
      </c>
    </row>
    <row r="15" spans="1:35" x14ac:dyDescent="0.35">
      <c r="A15" s="5" t="s">
        <v>134</v>
      </c>
      <c r="B15" s="6" t="s">
        <v>45</v>
      </c>
      <c r="C15" s="6" t="s">
        <v>89</v>
      </c>
      <c r="D15" s="6" t="s">
        <v>135</v>
      </c>
      <c r="E15" s="42" t="s">
        <v>2051</v>
      </c>
      <c r="F15" s="42" t="s">
        <v>2008</v>
      </c>
      <c r="G15" s="42" t="s">
        <v>1996</v>
      </c>
      <c r="H15" s="6" t="s">
        <v>136</v>
      </c>
      <c r="I15" s="6" t="s">
        <v>137</v>
      </c>
      <c r="J15" s="6" t="s">
        <v>93</v>
      </c>
      <c r="K15" s="6" t="s">
        <v>42</v>
      </c>
      <c r="L15" s="6" t="s">
        <v>52</v>
      </c>
      <c r="M15" s="7">
        <v>45858</v>
      </c>
      <c r="N15" s="8">
        <v>500</v>
      </c>
      <c r="O15" s="9">
        <v>331</v>
      </c>
      <c r="P15" s="8">
        <v>1121</v>
      </c>
      <c r="Q15" s="6" t="s">
        <v>94</v>
      </c>
      <c r="R15" s="6" t="s">
        <v>45</v>
      </c>
      <c r="S15" s="6" t="s">
        <v>45</v>
      </c>
      <c r="T15" s="6" t="s">
        <v>45</v>
      </c>
      <c r="U15" s="10">
        <v>1</v>
      </c>
      <c r="V15" s="6" t="s">
        <v>45</v>
      </c>
      <c r="W15" s="10">
        <v>0</v>
      </c>
      <c r="X15" s="6" t="s">
        <v>45</v>
      </c>
      <c r="Y15" s="6" t="s">
        <v>46</v>
      </c>
      <c r="Z15" s="6" t="s">
        <v>45</v>
      </c>
      <c r="AA15" s="10" t="b">
        <v>0</v>
      </c>
      <c r="AB15" s="10" t="b">
        <v>0</v>
      </c>
      <c r="AC15" s="10" t="b">
        <v>0</v>
      </c>
      <c r="AD15" s="7">
        <v>45913</v>
      </c>
      <c r="AE15" s="8">
        <v>956</v>
      </c>
      <c r="AF15" s="6" t="s">
        <v>138</v>
      </c>
      <c r="AG15" s="8">
        <v>665</v>
      </c>
      <c r="AH15" s="11"/>
      <c r="AI15" s="12">
        <v>0</v>
      </c>
    </row>
    <row r="16" spans="1:35" x14ac:dyDescent="0.35">
      <c r="A16" s="5" t="s">
        <v>139</v>
      </c>
      <c r="B16" s="6" t="s">
        <v>45</v>
      </c>
      <c r="C16" s="6" t="s">
        <v>140</v>
      </c>
      <c r="D16" s="6" t="s">
        <v>141</v>
      </c>
      <c r="E16" s="42" t="s">
        <v>1041</v>
      </c>
      <c r="F16" s="42" t="s">
        <v>1997</v>
      </c>
      <c r="G16" s="42" t="s">
        <v>1996</v>
      </c>
      <c r="H16" s="6" t="s">
        <v>45</v>
      </c>
      <c r="I16" s="6" t="s">
        <v>45</v>
      </c>
      <c r="J16" s="6" t="s">
        <v>142</v>
      </c>
      <c r="K16" s="6" t="s">
        <v>42</v>
      </c>
      <c r="L16" s="6" t="s">
        <v>52</v>
      </c>
      <c r="M16" s="7">
        <v>45861</v>
      </c>
      <c r="N16" s="8">
        <v>32000</v>
      </c>
      <c r="O16" s="9">
        <v>328</v>
      </c>
      <c r="P16" s="8">
        <v>2911</v>
      </c>
      <c r="Q16" s="6" t="s">
        <v>126</v>
      </c>
      <c r="R16" s="6" t="s">
        <v>45</v>
      </c>
      <c r="S16" s="6" t="s">
        <v>45</v>
      </c>
      <c r="T16" s="6" t="s">
        <v>45</v>
      </c>
      <c r="U16" s="10">
        <v>1</v>
      </c>
      <c r="V16" s="6" t="s">
        <v>45</v>
      </c>
      <c r="W16" s="10">
        <v>0</v>
      </c>
      <c r="X16" s="6" t="s">
        <v>45</v>
      </c>
      <c r="Y16" s="6" t="s">
        <v>46</v>
      </c>
      <c r="Z16" s="6" t="s">
        <v>45</v>
      </c>
      <c r="AA16" s="10" t="b">
        <v>0</v>
      </c>
      <c r="AB16" s="10" t="b">
        <v>0</v>
      </c>
      <c r="AC16" s="10" t="b">
        <v>1</v>
      </c>
      <c r="AD16" s="7"/>
      <c r="AE16" s="8">
        <v>0</v>
      </c>
      <c r="AF16" s="6" t="s">
        <v>45</v>
      </c>
      <c r="AG16" s="8">
        <v>0</v>
      </c>
      <c r="AH16" s="11"/>
      <c r="AI16" s="12">
        <v>0</v>
      </c>
    </row>
    <row r="17" spans="1:35" x14ac:dyDescent="0.35">
      <c r="A17" s="5" t="s">
        <v>143</v>
      </c>
      <c r="B17" s="6" t="s">
        <v>45</v>
      </c>
      <c r="C17" s="6" t="s">
        <v>140</v>
      </c>
      <c r="D17" s="6" t="s">
        <v>141</v>
      </c>
      <c r="E17" s="42" t="s">
        <v>1041</v>
      </c>
      <c r="F17" s="42" t="s">
        <v>1997</v>
      </c>
      <c r="G17" s="42" t="s">
        <v>1996</v>
      </c>
      <c r="H17" s="6" t="s">
        <v>45</v>
      </c>
      <c r="I17" s="6" t="s">
        <v>45</v>
      </c>
      <c r="J17" s="6" t="s">
        <v>142</v>
      </c>
      <c r="K17" s="6" t="s">
        <v>42</v>
      </c>
      <c r="L17" s="6" t="s">
        <v>52</v>
      </c>
      <c r="M17" s="7">
        <v>45861</v>
      </c>
      <c r="N17" s="8">
        <v>32000</v>
      </c>
      <c r="O17" s="9">
        <v>328</v>
      </c>
      <c r="P17" s="8">
        <v>2911</v>
      </c>
      <c r="Q17" s="6" t="s">
        <v>126</v>
      </c>
      <c r="R17" s="6" t="s">
        <v>45</v>
      </c>
      <c r="S17" s="6" t="s">
        <v>45</v>
      </c>
      <c r="T17" s="6" t="s">
        <v>45</v>
      </c>
      <c r="U17" s="10">
        <v>1</v>
      </c>
      <c r="V17" s="6" t="s">
        <v>45</v>
      </c>
      <c r="W17" s="10">
        <v>0</v>
      </c>
      <c r="X17" s="6" t="s">
        <v>45</v>
      </c>
      <c r="Y17" s="6" t="s">
        <v>46</v>
      </c>
      <c r="Z17" s="6" t="s">
        <v>45</v>
      </c>
      <c r="AA17" s="10" t="b">
        <v>0</v>
      </c>
      <c r="AB17" s="10" t="b">
        <v>0</v>
      </c>
      <c r="AC17" s="10" t="b">
        <v>1</v>
      </c>
      <c r="AD17" s="7"/>
      <c r="AE17" s="8">
        <v>0</v>
      </c>
      <c r="AF17" s="6" t="s">
        <v>45</v>
      </c>
      <c r="AG17" s="8">
        <v>0</v>
      </c>
      <c r="AH17" s="11"/>
      <c r="AI17" s="12">
        <v>0</v>
      </c>
    </row>
    <row r="18" spans="1:35" x14ac:dyDescent="0.35">
      <c r="A18" s="5" t="s">
        <v>144</v>
      </c>
      <c r="B18" s="6" t="s">
        <v>45</v>
      </c>
      <c r="C18" s="6" t="s">
        <v>140</v>
      </c>
      <c r="D18" s="6" t="s">
        <v>141</v>
      </c>
      <c r="E18" s="42" t="s">
        <v>1041</v>
      </c>
      <c r="F18" s="42" t="s">
        <v>1997</v>
      </c>
      <c r="G18" s="42" t="s">
        <v>1996</v>
      </c>
      <c r="H18" s="6" t="s">
        <v>45</v>
      </c>
      <c r="I18" s="6" t="s">
        <v>45</v>
      </c>
      <c r="J18" s="6" t="s">
        <v>142</v>
      </c>
      <c r="K18" s="6" t="s">
        <v>42</v>
      </c>
      <c r="L18" s="6" t="s">
        <v>52</v>
      </c>
      <c r="M18" s="7">
        <v>45861</v>
      </c>
      <c r="N18" s="8">
        <v>32000</v>
      </c>
      <c r="O18" s="9">
        <v>328</v>
      </c>
      <c r="P18" s="8">
        <v>2911</v>
      </c>
      <c r="Q18" s="6" t="s">
        <v>126</v>
      </c>
      <c r="R18" s="6" t="s">
        <v>45</v>
      </c>
      <c r="S18" s="6" t="s">
        <v>45</v>
      </c>
      <c r="T18" s="6" t="s">
        <v>45</v>
      </c>
      <c r="U18" s="10">
        <v>1</v>
      </c>
      <c r="V18" s="6" t="s">
        <v>45</v>
      </c>
      <c r="W18" s="10">
        <v>0</v>
      </c>
      <c r="X18" s="6" t="s">
        <v>45</v>
      </c>
      <c r="Y18" s="6" t="s">
        <v>46</v>
      </c>
      <c r="Z18" s="6" t="s">
        <v>45</v>
      </c>
      <c r="AA18" s="10" t="b">
        <v>0</v>
      </c>
      <c r="AB18" s="10" t="b">
        <v>0</v>
      </c>
      <c r="AC18" s="10" t="b">
        <v>1</v>
      </c>
      <c r="AD18" s="7"/>
      <c r="AE18" s="8">
        <v>0</v>
      </c>
      <c r="AF18" s="6" t="s">
        <v>45</v>
      </c>
      <c r="AG18" s="8">
        <v>0</v>
      </c>
      <c r="AH18" s="11"/>
      <c r="AI18" s="12">
        <v>0</v>
      </c>
    </row>
    <row r="19" spans="1:35" x14ac:dyDescent="0.35">
      <c r="A19" s="5" t="s">
        <v>145</v>
      </c>
      <c r="B19" s="6" t="s">
        <v>45</v>
      </c>
      <c r="C19" s="6" t="s">
        <v>140</v>
      </c>
      <c r="D19" s="6" t="s">
        <v>141</v>
      </c>
      <c r="E19" s="42" t="s">
        <v>1041</v>
      </c>
      <c r="F19" s="42" t="s">
        <v>1997</v>
      </c>
      <c r="G19" s="42" t="s">
        <v>1996</v>
      </c>
      <c r="H19" s="6" t="s">
        <v>45</v>
      </c>
      <c r="I19" s="6" t="s">
        <v>45</v>
      </c>
      <c r="J19" s="6" t="s">
        <v>142</v>
      </c>
      <c r="K19" s="6" t="s">
        <v>42</v>
      </c>
      <c r="L19" s="6" t="s">
        <v>52</v>
      </c>
      <c r="M19" s="7">
        <v>45861</v>
      </c>
      <c r="N19" s="8">
        <v>32000</v>
      </c>
      <c r="O19" s="9">
        <v>328</v>
      </c>
      <c r="P19" s="8">
        <v>2911</v>
      </c>
      <c r="Q19" s="6" t="s">
        <v>126</v>
      </c>
      <c r="R19" s="6" t="s">
        <v>45</v>
      </c>
      <c r="S19" s="6" t="s">
        <v>45</v>
      </c>
      <c r="T19" s="6" t="s">
        <v>45</v>
      </c>
      <c r="U19" s="10">
        <v>1</v>
      </c>
      <c r="V19" s="6" t="s">
        <v>45</v>
      </c>
      <c r="W19" s="10">
        <v>0</v>
      </c>
      <c r="X19" s="6" t="s">
        <v>45</v>
      </c>
      <c r="Y19" s="6" t="s">
        <v>46</v>
      </c>
      <c r="Z19" s="6" t="s">
        <v>45</v>
      </c>
      <c r="AA19" s="10" t="b">
        <v>0</v>
      </c>
      <c r="AB19" s="10" t="b">
        <v>0</v>
      </c>
      <c r="AC19" s="10" t="b">
        <v>1</v>
      </c>
      <c r="AD19" s="7"/>
      <c r="AE19" s="8">
        <v>0</v>
      </c>
      <c r="AF19" s="6" t="s">
        <v>45</v>
      </c>
      <c r="AG19" s="8">
        <v>0</v>
      </c>
      <c r="AH19" s="11"/>
      <c r="AI19" s="12">
        <v>0</v>
      </c>
    </row>
    <row r="20" spans="1:35" x14ac:dyDescent="0.35">
      <c r="A20" s="5" t="s">
        <v>146</v>
      </c>
      <c r="B20" s="6" t="s">
        <v>45</v>
      </c>
      <c r="C20" s="6" t="s">
        <v>140</v>
      </c>
      <c r="D20" s="6" t="s">
        <v>141</v>
      </c>
      <c r="E20" s="42" t="s">
        <v>1041</v>
      </c>
      <c r="F20" s="42" t="s">
        <v>1997</v>
      </c>
      <c r="G20" s="42" t="s">
        <v>1996</v>
      </c>
      <c r="H20" s="6" t="s">
        <v>45</v>
      </c>
      <c r="I20" s="6" t="s">
        <v>45</v>
      </c>
      <c r="J20" s="6" t="s">
        <v>142</v>
      </c>
      <c r="K20" s="6" t="s">
        <v>42</v>
      </c>
      <c r="L20" s="6" t="s">
        <v>52</v>
      </c>
      <c r="M20" s="7">
        <v>45861</v>
      </c>
      <c r="N20" s="8">
        <v>32000</v>
      </c>
      <c r="O20" s="9">
        <v>328</v>
      </c>
      <c r="P20" s="8">
        <v>2911</v>
      </c>
      <c r="Q20" s="6" t="s">
        <v>126</v>
      </c>
      <c r="R20" s="6" t="s">
        <v>45</v>
      </c>
      <c r="S20" s="6" t="s">
        <v>45</v>
      </c>
      <c r="T20" s="6" t="s">
        <v>45</v>
      </c>
      <c r="U20" s="10">
        <v>1</v>
      </c>
      <c r="V20" s="6" t="s">
        <v>45</v>
      </c>
      <c r="W20" s="10">
        <v>0</v>
      </c>
      <c r="X20" s="6" t="s">
        <v>45</v>
      </c>
      <c r="Y20" s="6" t="s">
        <v>46</v>
      </c>
      <c r="Z20" s="6" t="s">
        <v>45</v>
      </c>
      <c r="AA20" s="10" t="b">
        <v>0</v>
      </c>
      <c r="AB20" s="10" t="b">
        <v>0</v>
      </c>
      <c r="AC20" s="10" t="b">
        <v>1</v>
      </c>
      <c r="AD20" s="7"/>
      <c r="AE20" s="8">
        <v>0</v>
      </c>
      <c r="AF20" s="6" t="s">
        <v>45</v>
      </c>
      <c r="AG20" s="8">
        <v>0</v>
      </c>
      <c r="AH20" s="11"/>
      <c r="AI20" s="12">
        <v>0</v>
      </c>
    </row>
    <row r="21" spans="1:35" x14ac:dyDescent="0.35">
      <c r="A21" s="5" t="s">
        <v>147</v>
      </c>
      <c r="B21" s="6" t="s">
        <v>45</v>
      </c>
      <c r="C21" s="6" t="s">
        <v>140</v>
      </c>
      <c r="D21" s="6" t="s">
        <v>141</v>
      </c>
      <c r="E21" s="42" t="s">
        <v>1041</v>
      </c>
      <c r="F21" s="42" t="s">
        <v>1997</v>
      </c>
      <c r="G21" s="42" t="s">
        <v>1996</v>
      </c>
      <c r="H21" s="6" t="s">
        <v>45</v>
      </c>
      <c r="I21" s="6" t="s">
        <v>45</v>
      </c>
      <c r="J21" s="6" t="s">
        <v>142</v>
      </c>
      <c r="K21" s="6" t="s">
        <v>42</v>
      </c>
      <c r="L21" s="6" t="s">
        <v>52</v>
      </c>
      <c r="M21" s="7">
        <v>45861</v>
      </c>
      <c r="N21" s="8">
        <v>32000</v>
      </c>
      <c r="O21" s="9">
        <v>328</v>
      </c>
      <c r="P21" s="8">
        <v>2911</v>
      </c>
      <c r="Q21" s="6" t="s">
        <v>126</v>
      </c>
      <c r="R21" s="6" t="s">
        <v>45</v>
      </c>
      <c r="S21" s="6" t="s">
        <v>45</v>
      </c>
      <c r="T21" s="6" t="s">
        <v>45</v>
      </c>
      <c r="U21" s="10">
        <v>1</v>
      </c>
      <c r="V21" s="6" t="s">
        <v>45</v>
      </c>
      <c r="W21" s="10">
        <v>0</v>
      </c>
      <c r="X21" s="6" t="s">
        <v>45</v>
      </c>
      <c r="Y21" s="6" t="s">
        <v>46</v>
      </c>
      <c r="Z21" s="6" t="s">
        <v>45</v>
      </c>
      <c r="AA21" s="10" t="b">
        <v>0</v>
      </c>
      <c r="AB21" s="10" t="b">
        <v>0</v>
      </c>
      <c r="AC21" s="10" t="b">
        <v>1</v>
      </c>
      <c r="AD21" s="7"/>
      <c r="AE21" s="8">
        <v>0</v>
      </c>
      <c r="AF21" s="6" t="s">
        <v>45</v>
      </c>
      <c r="AG21" s="8">
        <v>0</v>
      </c>
      <c r="AH21" s="11"/>
      <c r="AI21" s="12">
        <v>0</v>
      </c>
    </row>
    <row r="22" spans="1:35" x14ac:dyDescent="0.35">
      <c r="A22" s="5" t="s">
        <v>148</v>
      </c>
      <c r="B22" s="6" t="s">
        <v>45</v>
      </c>
      <c r="C22" s="6" t="s">
        <v>140</v>
      </c>
      <c r="D22" s="6" t="s">
        <v>141</v>
      </c>
      <c r="E22" s="42" t="s">
        <v>1041</v>
      </c>
      <c r="F22" s="42" t="s">
        <v>1997</v>
      </c>
      <c r="G22" s="42" t="s">
        <v>1996</v>
      </c>
      <c r="H22" s="6" t="s">
        <v>45</v>
      </c>
      <c r="I22" s="6" t="s">
        <v>45</v>
      </c>
      <c r="J22" s="6" t="s">
        <v>142</v>
      </c>
      <c r="K22" s="6" t="s">
        <v>42</v>
      </c>
      <c r="L22" s="6" t="s">
        <v>52</v>
      </c>
      <c r="M22" s="7">
        <v>45861</v>
      </c>
      <c r="N22" s="8">
        <v>32000</v>
      </c>
      <c r="O22" s="9">
        <v>328</v>
      </c>
      <c r="P22" s="8">
        <v>2911</v>
      </c>
      <c r="Q22" s="6" t="s">
        <v>126</v>
      </c>
      <c r="R22" s="6" t="s">
        <v>45</v>
      </c>
      <c r="S22" s="6" t="s">
        <v>45</v>
      </c>
      <c r="T22" s="6" t="s">
        <v>45</v>
      </c>
      <c r="U22" s="10">
        <v>1</v>
      </c>
      <c r="V22" s="6" t="s">
        <v>45</v>
      </c>
      <c r="W22" s="10">
        <v>0</v>
      </c>
      <c r="X22" s="6" t="s">
        <v>45</v>
      </c>
      <c r="Y22" s="6" t="s">
        <v>46</v>
      </c>
      <c r="Z22" s="6" t="s">
        <v>45</v>
      </c>
      <c r="AA22" s="10" t="b">
        <v>0</v>
      </c>
      <c r="AB22" s="10" t="b">
        <v>0</v>
      </c>
      <c r="AC22" s="10" t="b">
        <v>1</v>
      </c>
      <c r="AD22" s="7"/>
      <c r="AE22" s="8">
        <v>0</v>
      </c>
      <c r="AF22" s="6" t="s">
        <v>45</v>
      </c>
      <c r="AG22" s="8">
        <v>0</v>
      </c>
      <c r="AH22" s="11"/>
      <c r="AI22" s="12">
        <v>0</v>
      </c>
    </row>
    <row r="23" spans="1:35" x14ac:dyDescent="0.35">
      <c r="A23" s="5" t="s">
        <v>149</v>
      </c>
      <c r="B23" s="6" t="s">
        <v>45</v>
      </c>
      <c r="C23" s="6" t="s">
        <v>140</v>
      </c>
      <c r="D23" s="6" t="s">
        <v>141</v>
      </c>
      <c r="E23" s="42" t="s">
        <v>1041</v>
      </c>
      <c r="F23" s="42" t="s">
        <v>1997</v>
      </c>
      <c r="G23" s="42" t="s">
        <v>1996</v>
      </c>
      <c r="H23" s="6" t="s">
        <v>45</v>
      </c>
      <c r="I23" s="6" t="s">
        <v>45</v>
      </c>
      <c r="J23" s="6" t="s">
        <v>142</v>
      </c>
      <c r="K23" s="6" t="s">
        <v>42</v>
      </c>
      <c r="L23" s="6" t="s">
        <v>52</v>
      </c>
      <c r="M23" s="7">
        <v>45861</v>
      </c>
      <c r="N23" s="8">
        <v>32000</v>
      </c>
      <c r="O23" s="9">
        <v>328</v>
      </c>
      <c r="P23" s="8">
        <v>2911</v>
      </c>
      <c r="Q23" s="6" t="s">
        <v>126</v>
      </c>
      <c r="R23" s="6" t="s">
        <v>45</v>
      </c>
      <c r="S23" s="6" t="s">
        <v>45</v>
      </c>
      <c r="T23" s="6" t="s">
        <v>45</v>
      </c>
      <c r="U23" s="10">
        <v>1</v>
      </c>
      <c r="V23" s="6" t="s">
        <v>45</v>
      </c>
      <c r="W23" s="10">
        <v>0</v>
      </c>
      <c r="X23" s="6" t="s">
        <v>45</v>
      </c>
      <c r="Y23" s="6" t="s">
        <v>46</v>
      </c>
      <c r="Z23" s="6" t="s">
        <v>45</v>
      </c>
      <c r="AA23" s="10" t="b">
        <v>0</v>
      </c>
      <c r="AB23" s="10" t="b">
        <v>0</v>
      </c>
      <c r="AC23" s="10" t="b">
        <v>1</v>
      </c>
      <c r="AD23" s="7"/>
      <c r="AE23" s="8">
        <v>0</v>
      </c>
      <c r="AF23" s="6" t="s">
        <v>45</v>
      </c>
      <c r="AG23" s="8">
        <v>0</v>
      </c>
      <c r="AH23" s="11"/>
      <c r="AI23" s="12">
        <v>0</v>
      </c>
    </row>
    <row r="24" spans="1:35" x14ac:dyDescent="0.35">
      <c r="A24" s="5" t="s">
        <v>150</v>
      </c>
      <c r="B24" s="6" t="s">
        <v>45</v>
      </c>
      <c r="C24" s="6" t="s">
        <v>140</v>
      </c>
      <c r="D24" s="6" t="s">
        <v>141</v>
      </c>
      <c r="E24" s="42" t="s">
        <v>1041</v>
      </c>
      <c r="F24" s="42" t="s">
        <v>1997</v>
      </c>
      <c r="G24" s="42" t="s">
        <v>1996</v>
      </c>
      <c r="H24" s="6" t="s">
        <v>45</v>
      </c>
      <c r="I24" s="6" t="s">
        <v>45</v>
      </c>
      <c r="J24" s="6" t="s">
        <v>142</v>
      </c>
      <c r="K24" s="6" t="s">
        <v>42</v>
      </c>
      <c r="L24" s="6" t="s">
        <v>52</v>
      </c>
      <c r="M24" s="7">
        <v>45861</v>
      </c>
      <c r="N24" s="8">
        <v>32000</v>
      </c>
      <c r="O24" s="9">
        <v>328</v>
      </c>
      <c r="P24" s="8">
        <v>2911</v>
      </c>
      <c r="Q24" s="6" t="s">
        <v>126</v>
      </c>
      <c r="R24" s="6" t="s">
        <v>45</v>
      </c>
      <c r="S24" s="6" t="s">
        <v>45</v>
      </c>
      <c r="T24" s="6" t="s">
        <v>45</v>
      </c>
      <c r="U24" s="10">
        <v>1</v>
      </c>
      <c r="V24" s="6" t="s">
        <v>45</v>
      </c>
      <c r="W24" s="10">
        <v>0</v>
      </c>
      <c r="X24" s="6" t="s">
        <v>45</v>
      </c>
      <c r="Y24" s="6" t="s">
        <v>46</v>
      </c>
      <c r="Z24" s="6" t="s">
        <v>45</v>
      </c>
      <c r="AA24" s="10" t="b">
        <v>0</v>
      </c>
      <c r="AB24" s="10" t="b">
        <v>0</v>
      </c>
      <c r="AC24" s="10" t="b">
        <v>1</v>
      </c>
      <c r="AD24" s="7"/>
      <c r="AE24" s="8">
        <v>0</v>
      </c>
      <c r="AF24" s="6" t="s">
        <v>45</v>
      </c>
      <c r="AG24" s="8">
        <v>0</v>
      </c>
      <c r="AH24" s="11"/>
      <c r="AI24" s="12">
        <v>0</v>
      </c>
    </row>
    <row r="25" spans="1:35" x14ac:dyDescent="0.35">
      <c r="A25" s="5" t="s">
        <v>151</v>
      </c>
      <c r="B25" s="6" t="s">
        <v>45</v>
      </c>
      <c r="C25" s="6" t="s">
        <v>152</v>
      </c>
      <c r="D25" s="6" t="s">
        <v>124</v>
      </c>
      <c r="E25" s="42" t="s">
        <v>725</v>
      </c>
      <c r="F25" s="42" t="s">
        <v>2002</v>
      </c>
      <c r="G25" s="42" t="s">
        <v>1996</v>
      </c>
      <c r="H25" s="6" t="s">
        <v>45</v>
      </c>
      <c r="I25" s="6" t="s">
        <v>45</v>
      </c>
      <c r="J25" s="6" t="s">
        <v>142</v>
      </c>
      <c r="K25" s="6" t="s">
        <v>42</v>
      </c>
      <c r="L25" s="6" t="s">
        <v>52</v>
      </c>
      <c r="M25" s="7">
        <v>45874</v>
      </c>
      <c r="N25" s="8">
        <v>95156</v>
      </c>
      <c r="O25" s="9">
        <v>316</v>
      </c>
      <c r="P25" s="8">
        <v>5493</v>
      </c>
      <c r="Q25" s="6" t="s">
        <v>126</v>
      </c>
      <c r="R25" s="6" t="s">
        <v>45</v>
      </c>
      <c r="S25" s="6" t="s">
        <v>45</v>
      </c>
      <c r="T25" s="6" t="s">
        <v>45</v>
      </c>
      <c r="U25" s="10">
        <v>1</v>
      </c>
      <c r="V25" s="6" t="s">
        <v>45</v>
      </c>
      <c r="W25" s="10">
        <v>0</v>
      </c>
      <c r="X25" s="6" t="s">
        <v>45</v>
      </c>
      <c r="Y25" s="6" t="s">
        <v>46</v>
      </c>
      <c r="Z25" s="6" t="s">
        <v>45</v>
      </c>
      <c r="AA25" s="10" t="b">
        <v>0</v>
      </c>
      <c r="AB25" s="10" t="b">
        <v>0</v>
      </c>
      <c r="AC25" s="10" t="b">
        <v>0</v>
      </c>
      <c r="AD25" s="7">
        <v>43896</v>
      </c>
      <c r="AE25" s="8">
        <v>63156</v>
      </c>
      <c r="AF25" s="6" t="s">
        <v>153</v>
      </c>
      <c r="AG25" s="8">
        <v>37493</v>
      </c>
      <c r="AH25" s="11"/>
      <c r="AI25" s="12">
        <v>0</v>
      </c>
    </row>
    <row r="26" spans="1:35" x14ac:dyDescent="0.35">
      <c r="A26" s="5" t="s">
        <v>154</v>
      </c>
      <c r="B26" s="6" t="s">
        <v>45</v>
      </c>
      <c r="C26" s="6" t="s">
        <v>123</v>
      </c>
      <c r="D26" s="6" t="s">
        <v>124</v>
      </c>
      <c r="E26" s="42" t="s">
        <v>725</v>
      </c>
      <c r="F26" s="42" t="s">
        <v>2002</v>
      </c>
      <c r="G26" s="42" t="s">
        <v>1996</v>
      </c>
      <c r="H26" s="6" t="s">
        <v>45</v>
      </c>
      <c r="I26" s="6" t="s">
        <v>45</v>
      </c>
      <c r="J26" s="6" t="s">
        <v>125</v>
      </c>
      <c r="K26" s="6" t="s">
        <v>42</v>
      </c>
      <c r="L26" s="6" t="s">
        <v>52</v>
      </c>
      <c r="M26" s="7">
        <v>45900</v>
      </c>
      <c r="N26" s="8">
        <v>95601</v>
      </c>
      <c r="O26" s="9">
        <v>290</v>
      </c>
      <c r="P26" s="8">
        <v>5048</v>
      </c>
      <c r="Q26" s="6" t="s">
        <v>126</v>
      </c>
      <c r="R26" s="6" t="s">
        <v>45</v>
      </c>
      <c r="S26" s="6" t="s">
        <v>45</v>
      </c>
      <c r="T26" s="6" t="s">
        <v>45</v>
      </c>
      <c r="U26" s="10">
        <v>1</v>
      </c>
      <c r="V26" s="6" t="s">
        <v>45</v>
      </c>
      <c r="W26" s="10">
        <v>0</v>
      </c>
      <c r="X26" s="6" t="s">
        <v>45</v>
      </c>
      <c r="Y26" s="6" t="s">
        <v>46</v>
      </c>
      <c r="Z26" s="6" t="s">
        <v>45</v>
      </c>
      <c r="AA26" s="10" t="b">
        <v>0</v>
      </c>
      <c r="AB26" s="10" t="b">
        <v>0</v>
      </c>
      <c r="AC26" s="10" t="b">
        <v>0</v>
      </c>
      <c r="AD26" s="7">
        <v>44969</v>
      </c>
      <c r="AE26" s="8">
        <v>79601</v>
      </c>
      <c r="AF26" s="6" t="s">
        <v>155</v>
      </c>
      <c r="AG26" s="8">
        <v>21048</v>
      </c>
      <c r="AH26" s="11"/>
      <c r="AI26" s="12">
        <v>0</v>
      </c>
    </row>
    <row r="27" spans="1:35" x14ac:dyDescent="0.35">
      <c r="A27" s="5" t="s">
        <v>156</v>
      </c>
      <c r="B27" s="6" t="s">
        <v>45</v>
      </c>
      <c r="C27" s="6" t="s">
        <v>157</v>
      </c>
      <c r="D27" s="6" t="s">
        <v>158</v>
      </c>
      <c r="E27" s="42" t="s">
        <v>2026</v>
      </c>
      <c r="F27" s="42" t="s">
        <v>1995</v>
      </c>
      <c r="G27" s="42" t="s">
        <v>1996</v>
      </c>
      <c r="H27" s="6" t="s">
        <v>159</v>
      </c>
      <c r="I27" s="6" t="s">
        <v>160</v>
      </c>
      <c r="J27" s="6" t="s">
        <v>161</v>
      </c>
      <c r="K27" s="6" t="s">
        <v>42</v>
      </c>
      <c r="L27" s="6" t="s">
        <v>52</v>
      </c>
      <c r="M27" s="7">
        <v>45910</v>
      </c>
      <c r="N27" s="8">
        <v>0</v>
      </c>
      <c r="O27" s="9">
        <v>279</v>
      </c>
      <c r="P27" s="8">
        <v>0</v>
      </c>
      <c r="Q27" s="6" t="s">
        <v>44</v>
      </c>
      <c r="R27" s="6" t="s">
        <v>45</v>
      </c>
      <c r="S27" s="6" t="s">
        <v>45</v>
      </c>
      <c r="T27" s="6" t="s">
        <v>45</v>
      </c>
      <c r="U27" s="10">
        <v>1</v>
      </c>
      <c r="V27" s="6" t="s">
        <v>45</v>
      </c>
      <c r="W27" s="10">
        <v>0</v>
      </c>
      <c r="X27" s="6" t="s">
        <v>45</v>
      </c>
      <c r="Y27" s="6" t="s">
        <v>46</v>
      </c>
      <c r="Z27" s="6" t="s">
        <v>45</v>
      </c>
      <c r="AA27" s="10" t="b">
        <v>0</v>
      </c>
      <c r="AB27" s="10" t="b">
        <v>0</v>
      </c>
      <c r="AC27" s="10" t="b">
        <v>1</v>
      </c>
      <c r="AD27" s="7">
        <v>45726</v>
      </c>
      <c r="AE27" s="8">
        <v>0</v>
      </c>
      <c r="AF27" s="6" t="s">
        <v>162</v>
      </c>
      <c r="AG27" s="8">
        <v>0</v>
      </c>
      <c r="AH27" s="11"/>
      <c r="AI27" s="12">
        <v>0</v>
      </c>
    </row>
    <row r="28" spans="1:35" x14ac:dyDescent="0.35">
      <c r="A28" s="5" t="s">
        <v>163</v>
      </c>
      <c r="B28" s="6" t="s">
        <v>45</v>
      </c>
      <c r="C28" s="6" t="s">
        <v>157</v>
      </c>
      <c r="D28" s="6" t="s">
        <v>158</v>
      </c>
      <c r="E28" s="42" t="s">
        <v>2026</v>
      </c>
      <c r="F28" s="42" t="s">
        <v>1995</v>
      </c>
      <c r="G28" s="42" t="s">
        <v>1996</v>
      </c>
      <c r="H28" s="6" t="s">
        <v>164</v>
      </c>
      <c r="I28" s="6" t="s">
        <v>165</v>
      </c>
      <c r="J28" s="6" t="s">
        <v>161</v>
      </c>
      <c r="K28" s="6" t="s">
        <v>42</v>
      </c>
      <c r="L28" s="6" t="s">
        <v>52</v>
      </c>
      <c r="M28" s="7">
        <v>45910</v>
      </c>
      <c r="N28" s="8">
        <v>0</v>
      </c>
      <c r="O28" s="9">
        <v>279</v>
      </c>
      <c r="P28" s="8">
        <v>0</v>
      </c>
      <c r="Q28" s="6" t="s">
        <v>44</v>
      </c>
      <c r="R28" s="6" t="s">
        <v>45</v>
      </c>
      <c r="S28" s="6" t="s">
        <v>45</v>
      </c>
      <c r="T28" s="6" t="s">
        <v>45</v>
      </c>
      <c r="U28" s="10">
        <v>1</v>
      </c>
      <c r="V28" s="6" t="s">
        <v>45</v>
      </c>
      <c r="W28" s="10">
        <v>0</v>
      </c>
      <c r="X28" s="6" t="s">
        <v>45</v>
      </c>
      <c r="Y28" s="6" t="s">
        <v>46</v>
      </c>
      <c r="Z28" s="6" t="s">
        <v>45</v>
      </c>
      <c r="AA28" s="10" t="b">
        <v>0</v>
      </c>
      <c r="AB28" s="10" t="b">
        <v>0</v>
      </c>
      <c r="AC28" s="10" t="b">
        <v>1</v>
      </c>
      <c r="AD28" s="7">
        <v>45726</v>
      </c>
      <c r="AE28" s="8">
        <v>0</v>
      </c>
      <c r="AF28" s="6" t="s">
        <v>162</v>
      </c>
      <c r="AG28" s="8">
        <v>0</v>
      </c>
      <c r="AH28" s="11"/>
      <c r="AI28" s="12">
        <v>0</v>
      </c>
    </row>
    <row r="29" spans="1:35" x14ac:dyDescent="0.35">
      <c r="A29" s="5" t="s">
        <v>166</v>
      </c>
      <c r="B29" s="6" t="s">
        <v>45</v>
      </c>
      <c r="C29" s="6" t="s">
        <v>167</v>
      </c>
      <c r="D29" s="6" t="s">
        <v>98</v>
      </c>
      <c r="E29" s="42" t="s">
        <v>2053</v>
      </c>
      <c r="F29" s="42" t="s">
        <v>2005</v>
      </c>
      <c r="G29" s="42" t="s">
        <v>2006</v>
      </c>
      <c r="H29" s="6" t="s">
        <v>45</v>
      </c>
      <c r="I29" s="6" t="s">
        <v>45</v>
      </c>
      <c r="J29" s="6" t="s">
        <v>45</v>
      </c>
      <c r="K29" s="6" t="s">
        <v>42</v>
      </c>
      <c r="L29" s="6" t="s">
        <v>168</v>
      </c>
      <c r="M29" s="7">
        <v>45706</v>
      </c>
      <c r="N29" s="8">
        <v>0</v>
      </c>
      <c r="O29" s="9">
        <v>273</v>
      </c>
      <c r="P29" s="8">
        <v>0</v>
      </c>
      <c r="Q29" s="6" t="s">
        <v>58</v>
      </c>
      <c r="R29" s="6" t="s">
        <v>45</v>
      </c>
      <c r="S29" s="6" t="s">
        <v>45</v>
      </c>
      <c r="T29" s="6" t="s">
        <v>45</v>
      </c>
      <c r="U29" s="10">
        <v>0</v>
      </c>
      <c r="V29" s="6" t="s">
        <v>45</v>
      </c>
      <c r="W29" s="10">
        <v>0</v>
      </c>
      <c r="X29" s="6" t="s">
        <v>45</v>
      </c>
      <c r="Y29" s="6" t="s">
        <v>46</v>
      </c>
      <c r="Z29" s="6" t="s">
        <v>45</v>
      </c>
      <c r="AA29" s="10" t="b">
        <v>0</v>
      </c>
      <c r="AB29" s="10" t="b">
        <v>0</v>
      </c>
      <c r="AC29" s="10" t="b">
        <v>0</v>
      </c>
      <c r="AD29" s="7"/>
      <c r="AE29" s="8">
        <v>0</v>
      </c>
      <c r="AF29" s="6" t="s">
        <v>45</v>
      </c>
      <c r="AG29" s="8">
        <v>0</v>
      </c>
      <c r="AH29" s="11"/>
      <c r="AI29" s="12">
        <v>0</v>
      </c>
    </row>
    <row r="30" spans="1:35" x14ac:dyDescent="0.35">
      <c r="A30" s="5" t="s">
        <v>35</v>
      </c>
      <c r="B30" s="6" t="s">
        <v>36</v>
      </c>
      <c r="C30" s="6" t="s">
        <v>37</v>
      </c>
      <c r="D30" s="6" t="s">
        <v>38</v>
      </c>
      <c r="E30" s="42" t="s">
        <v>803</v>
      </c>
      <c r="F30" s="42" t="s">
        <v>2018</v>
      </c>
      <c r="G30" s="42" t="s">
        <v>2006</v>
      </c>
      <c r="H30" s="6" t="s">
        <v>39</v>
      </c>
      <c r="I30" s="6" t="s">
        <v>40</v>
      </c>
      <c r="J30" s="6" t="s">
        <v>41</v>
      </c>
      <c r="K30" s="6" t="s">
        <v>42</v>
      </c>
      <c r="L30" s="6" t="s">
        <v>43</v>
      </c>
      <c r="M30" s="7">
        <v>45947</v>
      </c>
      <c r="N30" s="8">
        <v>0</v>
      </c>
      <c r="O30" s="9">
        <v>242</v>
      </c>
      <c r="P30" s="8">
        <v>0</v>
      </c>
      <c r="Q30" s="6" t="s">
        <v>44</v>
      </c>
      <c r="R30" s="6" t="s">
        <v>45</v>
      </c>
      <c r="S30" s="6" t="s">
        <v>45</v>
      </c>
      <c r="T30" s="6" t="s">
        <v>45</v>
      </c>
      <c r="U30" s="10">
        <v>1</v>
      </c>
      <c r="V30" s="6" t="s">
        <v>45</v>
      </c>
      <c r="W30" s="10">
        <v>0</v>
      </c>
      <c r="X30" s="6" t="s">
        <v>45</v>
      </c>
      <c r="Y30" s="6" t="s">
        <v>46</v>
      </c>
      <c r="Z30" s="6" t="s">
        <v>47</v>
      </c>
      <c r="AA30" s="10" t="b">
        <v>1</v>
      </c>
      <c r="AB30" s="10" t="b">
        <v>0</v>
      </c>
      <c r="AC30" s="10" t="b">
        <v>0</v>
      </c>
      <c r="AD30" s="7">
        <v>45582</v>
      </c>
      <c r="AE30" s="8">
        <v>0</v>
      </c>
      <c r="AF30" s="6" t="s">
        <v>48</v>
      </c>
      <c r="AG30" s="8">
        <v>0</v>
      </c>
      <c r="AH30" s="11"/>
      <c r="AI30" s="12">
        <v>0</v>
      </c>
    </row>
    <row r="31" spans="1:35" x14ac:dyDescent="0.35">
      <c r="A31" s="5" t="s">
        <v>169</v>
      </c>
      <c r="B31" s="6" t="s">
        <v>45</v>
      </c>
      <c r="C31" s="6" t="s">
        <v>157</v>
      </c>
      <c r="D31" s="6" t="s">
        <v>158</v>
      </c>
      <c r="E31" s="42" t="s">
        <v>2026</v>
      </c>
      <c r="F31" s="42" t="s">
        <v>1995</v>
      </c>
      <c r="G31" s="42" t="s">
        <v>1996</v>
      </c>
      <c r="H31" s="6" t="s">
        <v>170</v>
      </c>
      <c r="I31" s="6" t="s">
        <v>171</v>
      </c>
      <c r="J31" s="6" t="s">
        <v>161</v>
      </c>
      <c r="K31" s="6" t="s">
        <v>42</v>
      </c>
      <c r="L31" s="6" t="s">
        <v>172</v>
      </c>
      <c r="M31" s="7">
        <v>45968</v>
      </c>
      <c r="N31" s="8">
        <v>0</v>
      </c>
      <c r="O31" s="9">
        <v>221</v>
      </c>
      <c r="P31" s="8">
        <v>0</v>
      </c>
      <c r="Q31" s="6" t="s">
        <v>44</v>
      </c>
      <c r="R31" s="6" t="s">
        <v>45</v>
      </c>
      <c r="S31" s="6" t="s">
        <v>45</v>
      </c>
      <c r="T31" s="6" t="s">
        <v>45</v>
      </c>
      <c r="U31" s="10">
        <v>1</v>
      </c>
      <c r="V31" s="6" t="s">
        <v>45</v>
      </c>
      <c r="W31" s="10">
        <v>0</v>
      </c>
      <c r="X31" s="6" t="s">
        <v>45</v>
      </c>
      <c r="Y31" s="6" t="s">
        <v>46</v>
      </c>
      <c r="Z31" s="6" t="s">
        <v>45</v>
      </c>
      <c r="AA31" s="10" t="b">
        <v>0</v>
      </c>
      <c r="AB31" s="10" t="b">
        <v>0</v>
      </c>
      <c r="AC31" s="10" t="b">
        <v>1</v>
      </c>
      <c r="AD31" s="7">
        <v>45784</v>
      </c>
      <c r="AE31" s="8">
        <v>0</v>
      </c>
      <c r="AF31" s="6" t="s">
        <v>173</v>
      </c>
      <c r="AG31" s="8">
        <v>0</v>
      </c>
      <c r="AH31" s="11"/>
      <c r="AI31" s="12">
        <v>0</v>
      </c>
    </row>
    <row r="32" spans="1:35" x14ac:dyDescent="0.35">
      <c r="A32" s="5" t="s">
        <v>174</v>
      </c>
      <c r="B32" s="6" t="s">
        <v>45</v>
      </c>
      <c r="C32" s="6" t="s">
        <v>157</v>
      </c>
      <c r="D32" s="6" t="s">
        <v>158</v>
      </c>
      <c r="E32" s="42" t="s">
        <v>2026</v>
      </c>
      <c r="F32" s="42" t="s">
        <v>1995</v>
      </c>
      <c r="G32" s="42" t="s">
        <v>1996</v>
      </c>
      <c r="H32" s="6" t="s">
        <v>175</v>
      </c>
      <c r="I32" s="6" t="s">
        <v>176</v>
      </c>
      <c r="J32" s="6" t="s">
        <v>161</v>
      </c>
      <c r="K32" s="6" t="s">
        <v>42</v>
      </c>
      <c r="L32" s="6" t="s">
        <v>172</v>
      </c>
      <c r="M32" s="7">
        <v>45968</v>
      </c>
      <c r="N32" s="8">
        <v>0</v>
      </c>
      <c r="O32" s="9">
        <v>221</v>
      </c>
      <c r="P32" s="8">
        <v>0</v>
      </c>
      <c r="Q32" s="6" t="s">
        <v>44</v>
      </c>
      <c r="R32" s="6" t="s">
        <v>45</v>
      </c>
      <c r="S32" s="6" t="s">
        <v>45</v>
      </c>
      <c r="T32" s="6" t="s">
        <v>45</v>
      </c>
      <c r="U32" s="10">
        <v>1</v>
      </c>
      <c r="V32" s="6" t="s">
        <v>45</v>
      </c>
      <c r="W32" s="10">
        <v>0</v>
      </c>
      <c r="X32" s="6" t="s">
        <v>45</v>
      </c>
      <c r="Y32" s="6" t="s">
        <v>46</v>
      </c>
      <c r="Z32" s="6" t="s">
        <v>45</v>
      </c>
      <c r="AA32" s="10" t="b">
        <v>0</v>
      </c>
      <c r="AB32" s="10" t="b">
        <v>0</v>
      </c>
      <c r="AC32" s="10" t="b">
        <v>1</v>
      </c>
      <c r="AD32" s="7">
        <v>45784</v>
      </c>
      <c r="AE32" s="8">
        <v>0</v>
      </c>
      <c r="AF32" s="6" t="s">
        <v>173</v>
      </c>
      <c r="AG32" s="8">
        <v>0</v>
      </c>
      <c r="AH32" s="11"/>
      <c r="AI32" s="12">
        <v>0</v>
      </c>
    </row>
    <row r="33" spans="1:35" x14ac:dyDescent="0.35">
      <c r="A33" s="5" t="s">
        <v>177</v>
      </c>
      <c r="B33" s="6" t="s">
        <v>45</v>
      </c>
      <c r="C33" s="6" t="s">
        <v>140</v>
      </c>
      <c r="D33" s="6" t="s">
        <v>141</v>
      </c>
      <c r="E33" s="42" t="s">
        <v>1041</v>
      </c>
      <c r="F33" s="42" t="s">
        <v>1997</v>
      </c>
      <c r="G33" s="42" t="s">
        <v>1996</v>
      </c>
      <c r="H33" s="6" t="s">
        <v>45</v>
      </c>
      <c r="I33" s="6" t="s">
        <v>45</v>
      </c>
      <c r="J33" s="6" t="s">
        <v>142</v>
      </c>
      <c r="K33" s="6" t="s">
        <v>42</v>
      </c>
      <c r="L33" s="6" t="s">
        <v>52</v>
      </c>
      <c r="M33" s="7">
        <v>45979</v>
      </c>
      <c r="N33" s="8">
        <v>32000</v>
      </c>
      <c r="O33" s="9">
        <v>210</v>
      </c>
      <c r="P33" s="8">
        <v>2379</v>
      </c>
      <c r="Q33" s="6" t="s">
        <v>126</v>
      </c>
      <c r="R33" s="6" t="s">
        <v>45</v>
      </c>
      <c r="S33" s="6" t="s">
        <v>45</v>
      </c>
      <c r="T33" s="6" t="s">
        <v>45</v>
      </c>
      <c r="U33" s="10">
        <v>1</v>
      </c>
      <c r="V33" s="6" t="s">
        <v>45</v>
      </c>
      <c r="W33" s="10">
        <v>0</v>
      </c>
      <c r="X33" s="6" t="s">
        <v>45</v>
      </c>
      <c r="Y33" s="6" t="s">
        <v>46</v>
      </c>
      <c r="Z33" s="6" t="s">
        <v>45</v>
      </c>
      <c r="AA33" s="10" t="b">
        <v>0</v>
      </c>
      <c r="AB33" s="10" t="b">
        <v>0</v>
      </c>
      <c r="AC33" s="10" t="b">
        <v>1</v>
      </c>
      <c r="AD33" s="7"/>
      <c r="AE33" s="8">
        <v>0</v>
      </c>
      <c r="AF33" s="6" t="s">
        <v>45</v>
      </c>
      <c r="AG33" s="8">
        <v>0</v>
      </c>
      <c r="AH33" s="11"/>
      <c r="AI33" s="12">
        <v>0</v>
      </c>
    </row>
    <row r="34" spans="1:35" x14ac:dyDescent="0.35">
      <c r="A34" s="5" t="s">
        <v>178</v>
      </c>
      <c r="B34" s="6" t="s">
        <v>45</v>
      </c>
      <c r="C34" s="6" t="s">
        <v>140</v>
      </c>
      <c r="D34" s="6" t="s">
        <v>141</v>
      </c>
      <c r="E34" s="42" t="s">
        <v>1041</v>
      </c>
      <c r="F34" s="42" t="s">
        <v>1997</v>
      </c>
      <c r="G34" s="42" t="s">
        <v>1996</v>
      </c>
      <c r="H34" s="6" t="s">
        <v>45</v>
      </c>
      <c r="I34" s="6" t="s">
        <v>45</v>
      </c>
      <c r="J34" s="6" t="s">
        <v>142</v>
      </c>
      <c r="K34" s="6" t="s">
        <v>42</v>
      </c>
      <c r="L34" s="6" t="s">
        <v>52</v>
      </c>
      <c r="M34" s="7">
        <v>45979</v>
      </c>
      <c r="N34" s="8">
        <v>32000</v>
      </c>
      <c r="O34" s="9">
        <v>210</v>
      </c>
      <c r="P34" s="8">
        <v>2379</v>
      </c>
      <c r="Q34" s="6" t="s">
        <v>126</v>
      </c>
      <c r="R34" s="6" t="s">
        <v>45</v>
      </c>
      <c r="S34" s="6" t="s">
        <v>45</v>
      </c>
      <c r="T34" s="6" t="s">
        <v>45</v>
      </c>
      <c r="U34" s="10">
        <v>1</v>
      </c>
      <c r="V34" s="6" t="s">
        <v>45</v>
      </c>
      <c r="W34" s="10">
        <v>0</v>
      </c>
      <c r="X34" s="6" t="s">
        <v>45</v>
      </c>
      <c r="Y34" s="6" t="s">
        <v>46</v>
      </c>
      <c r="Z34" s="6" t="s">
        <v>45</v>
      </c>
      <c r="AA34" s="10" t="b">
        <v>0</v>
      </c>
      <c r="AB34" s="10" t="b">
        <v>0</v>
      </c>
      <c r="AC34" s="10" t="b">
        <v>1</v>
      </c>
      <c r="AD34" s="7"/>
      <c r="AE34" s="8">
        <v>0</v>
      </c>
      <c r="AF34" s="6" t="s">
        <v>45</v>
      </c>
      <c r="AG34" s="8">
        <v>0</v>
      </c>
      <c r="AH34" s="11"/>
      <c r="AI34" s="12">
        <v>0</v>
      </c>
    </row>
    <row r="35" spans="1:35" x14ac:dyDescent="0.35">
      <c r="A35" s="5" t="s">
        <v>179</v>
      </c>
      <c r="B35" s="6" t="s">
        <v>45</v>
      </c>
      <c r="C35" s="6" t="s">
        <v>140</v>
      </c>
      <c r="D35" s="6" t="s">
        <v>141</v>
      </c>
      <c r="E35" s="42" t="s">
        <v>1041</v>
      </c>
      <c r="F35" s="42" t="s">
        <v>1997</v>
      </c>
      <c r="G35" s="42" t="s">
        <v>1996</v>
      </c>
      <c r="H35" s="6" t="s">
        <v>45</v>
      </c>
      <c r="I35" s="6" t="s">
        <v>45</v>
      </c>
      <c r="J35" s="6" t="s">
        <v>142</v>
      </c>
      <c r="K35" s="6" t="s">
        <v>42</v>
      </c>
      <c r="L35" s="6" t="s">
        <v>52</v>
      </c>
      <c r="M35" s="7">
        <v>45979</v>
      </c>
      <c r="N35" s="8">
        <v>32000</v>
      </c>
      <c r="O35" s="9">
        <v>210</v>
      </c>
      <c r="P35" s="8">
        <v>2379</v>
      </c>
      <c r="Q35" s="6" t="s">
        <v>126</v>
      </c>
      <c r="R35" s="6" t="s">
        <v>45</v>
      </c>
      <c r="S35" s="6" t="s">
        <v>45</v>
      </c>
      <c r="T35" s="6" t="s">
        <v>45</v>
      </c>
      <c r="U35" s="10">
        <v>1</v>
      </c>
      <c r="V35" s="6" t="s">
        <v>45</v>
      </c>
      <c r="W35" s="10">
        <v>0</v>
      </c>
      <c r="X35" s="6" t="s">
        <v>45</v>
      </c>
      <c r="Y35" s="6" t="s">
        <v>46</v>
      </c>
      <c r="Z35" s="6" t="s">
        <v>45</v>
      </c>
      <c r="AA35" s="10" t="b">
        <v>0</v>
      </c>
      <c r="AB35" s="10" t="b">
        <v>0</v>
      </c>
      <c r="AC35" s="10" t="b">
        <v>1</v>
      </c>
      <c r="AD35" s="7"/>
      <c r="AE35" s="8">
        <v>0</v>
      </c>
      <c r="AF35" s="6" t="s">
        <v>45</v>
      </c>
      <c r="AG35" s="8">
        <v>0</v>
      </c>
      <c r="AH35" s="11"/>
      <c r="AI35" s="12">
        <v>0</v>
      </c>
    </row>
    <row r="36" spans="1:35" x14ac:dyDescent="0.35">
      <c r="A36" s="5" t="s">
        <v>180</v>
      </c>
      <c r="B36" s="6" t="s">
        <v>45</v>
      </c>
      <c r="C36" s="6" t="s">
        <v>140</v>
      </c>
      <c r="D36" s="6" t="s">
        <v>141</v>
      </c>
      <c r="E36" s="42" t="s">
        <v>1041</v>
      </c>
      <c r="F36" s="42" t="s">
        <v>1997</v>
      </c>
      <c r="G36" s="42" t="s">
        <v>1996</v>
      </c>
      <c r="H36" s="6" t="s">
        <v>45</v>
      </c>
      <c r="I36" s="6" t="s">
        <v>45</v>
      </c>
      <c r="J36" s="6" t="s">
        <v>142</v>
      </c>
      <c r="K36" s="6" t="s">
        <v>42</v>
      </c>
      <c r="L36" s="6" t="s">
        <v>52</v>
      </c>
      <c r="M36" s="7">
        <v>45979</v>
      </c>
      <c r="N36" s="8">
        <v>32000</v>
      </c>
      <c r="O36" s="9">
        <v>210</v>
      </c>
      <c r="P36" s="8">
        <v>2379</v>
      </c>
      <c r="Q36" s="6" t="s">
        <v>126</v>
      </c>
      <c r="R36" s="6" t="s">
        <v>45</v>
      </c>
      <c r="S36" s="6" t="s">
        <v>45</v>
      </c>
      <c r="T36" s="6" t="s">
        <v>45</v>
      </c>
      <c r="U36" s="10">
        <v>1</v>
      </c>
      <c r="V36" s="6" t="s">
        <v>45</v>
      </c>
      <c r="W36" s="10">
        <v>0</v>
      </c>
      <c r="X36" s="6" t="s">
        <v>45</v>
      </c>
      <c r="Y36" s="6" t="s">
        <v>46</v>
      </c>
      <c r="Z36" s="6" t="s">
        <v>45</v>
      </c>
      <c r="AA36" s="10" t="b">
        <v>0</v>
      </c>
      <c r="AB36" s="10" t="b">
        <v>0</v>
      </c>
      <c r="AC36" s="10" t="b">
        <v>1</v>
      </c>
      <c r="AD36" s="7"/>
      <c r="AE36" s="8">
        <v>0</v>
      </c>
      <c r="AF36" s="6" t="s">
        <v>45</v>
      </c>
      <c r="AG36" s="8">
        <v>0</v>
      </c>
      <c r="AH36" s="11"/>
      <c r="AI36" s="12">
        <v>0</v>
      </c>
    </row>
    <row r="37" spans="1:35" x14ac:dyDescent="0.35">
      <c r="A37" s="5" t="s">
        <v>181</v>
      </c>
      <c r="B37" s="6" t="s">
        <v>45</v>
      </c>
      <c r="C37" s="6" t="s">
        <v>140</v>
      </c>
      <c r="D37" s="6" t="s">
        <v>141</v>
      </c>
      <c r="E37" s="42" t="s">
        <v>1041</v>
      </c>
      <c r="F37" s="42" t="s">
        <v>1997</v>
      </c>
      <c r="G37" s="42" t="s">
        <v>1996</v>
      </c>
      <c r="H37" s="6" t="s">
        <v>45</v>
      </c>
      <c r="I37" s="6" t="s">
        <v>45</v>
      </c>
      <c r="J37" s="6" t="s">
        <v>142</v>
      </c>
      <c r="K37" s="6" t="s">
        <v>42</v>
      </c>
      <c r="L37" s="6" t="s">
        <v>52</v>
      </c>
      <c r="M37" s="7">
        <v>45979</v>
      </c>
      <c r="N37" s="8">
        <v>32000</v>
      </c>
      <c r="O37" s="9">
        <v>210</v>
      </c>
      <c r="P37" s="8">
        <v>2379</v>
      </c>
      <c r="Q37" s="6" t="s">
        <v>126</v>
      </c>
      <c r="R37" s="6" t="s">
        <v>45</v>
      </c>
      <c r="S37" s="6" t="s">
        <v>45</v>
      </c>
      <c r="T37" s="6" t="s">
        <v>45</v>
      </c>
      <c r="U37" s="10">
        <v>1</v>
      </c>
      <c r="V37" s="6" t="s">
        <v>45</v>
      </c>
      <c r="W37" s="10">
        <v>0</v>
      </c>
      <c r="X37" s="6" t="s">
        <v>45</v>
      </c>
      <c r="Y37" s="6" t="s">
        <v>46</v>
      </c>
      <c r="Z37" s="6" t="s">
        <v>45</v>
      </c>
      <c r="AA37" s="10" t="b">
        <v>0</v>
      </c>
      <c r="AB37" s="10" t="b">
        <v>0</v>
      </c>
      <c r="AC37" s="10" t="b">
        <v>1</v>
      </c>
      <c r="AD37" s="7"/>
      <c r="AE37" s="8">
        <v>0</v>
      </c>
      <c r="AF37" s="6" t="s">
        <v>45</v>
      </c>
      <c r="AG37" s="8">
        <v>0</v>
      </c>
      <c r="AH37" s="11"/>
      <c r="AI37" s="12">
        <v>0</v>
      </c>
    </row>
    <row r="38" spans="1:35" x14ac:dyDescent="0.35">
      <c r="A38" s="5" t="s">
        <v>182</v>
      </c>
      <c r="B38" s="6" t="s">
        <v>45</v>
      </c>
      <c r="C38" s="6" t="s">
        <v>140</v>
      </c>
      <c r="D38" s="6" t="s">
        <v>141</v>
      </c>
      <c r="E38" s="42" t="s">
        <v>1041</v>
      </c>
      <c r="F38" s="42" t="s">
        <v>1997</v>
      </c>
      <c r="G38" s="42" t="s">
        <v>1996</v>
      </c>
      <c r="H38" s="6" t="s">
        <v>45</v>
      </c>
      <c r="I38" s="6" t="s">
        <v>45</v>
      </c>
      <c r="J38" s="6" t="s">
        <v>142</v>
      </c>
      <c r="K38" s="6" t="s">
        <v>42</v>
      </c>
      <c r="L38" s="6" t="s">
        <v>52</v>
      </c>
      <c r="M38" s="7">
        <v>45979</v>
      </c>
      <c r="N38" s="8">
        <v>32000</v>
      </c>
      <c r="O38" s="9">
        <v>210</v>
      </c>
      <c r="P38" s="8">
        <v>2379</v>
      </c>
      <c r="Q38" s="6" t="s">
        <v>126</v>
      </c>
      <c r="R38" s="6" t="s">
        <v>45</v>
      </c>
      <c r="S38" s="6" t="s">
        <v>45</v>
      </c>
      <c r="T38" s="6" t="s">
        <v>45</v>
      </c>
      <c r="U38" s="10">
        <v>1</v>
      </c>
      <c r="V38" s="6" t="s">
        <v>45</v>
      </c>
      <c r="W38" s="10">
        <v>0</v>
      </c>
      <c r="X38" s="6" t="s">
        <v>45</v>
      </c>
      <c r="Y38" s="6" t="s">
        <v>46</v>
      </c>
      <c r="Z38" s="6" t="s">
        <v>45</v>
      </c>
      <c r="AA38" s="10" t="b">
        <v>0</v>
      </c>
      <c r="AB38" s="10" t="b">
        <v>0</v>
      </c>
      <c r="AC38" s="10" t="b">
        <v>1</v>
      </c>
      <c r="AD38" s="7"/>
      <c r="AE38" s="8">
        <v>0</v>
      </c>
      <c r="AF38" s="6" t="s">
        <v>45</v>
      </c>
      <c r="AG38" s="8">
        <v>0</v>
      </c>
      <c r="AH38" s="11"/>
      <c r="AI38" s="12">
        <v>0</v>
      </c>
    </row>
    <row r="39" spans="1:35" x14ac:dyDescent="0.35">
      <c r="A39" s="5" t="s">
        <v>183</v>
      </c>
      <c r="B39" s="6" t="s">
        <v>45</v>
      </c>
      <c r="C39" s="6" t="s">
        <v>140</v>
      </c>
      <c r="D39" s="6" t="s">
        <v>141</v>
      </c>
      <c r="E39" s="42" t="s">
        <v>1041</v>
      </c>
      <c r="F39" s="42" t="s">
        <v>1997</v>
      </c>
      <c r="G39" s="42" t="s">
        <v>1996</v>
      </c>
      <c r="H39" s="6" t="s">
        <v>45</v>
      </c>
      <c r="I39" s="6" t="s">
        <v>45</v>
      </c>
      <c r="J39" s="6" t="s">
        <v>142</v>
      </c>
      <c r="K39" s="6" t="s">
        <v>42</v>
      </c>
      <c r="L39" s="6" t="s">
        <v>52</v>
      </c>
      <c r="M39" s="7">
        <v>45979</v>
      </c>
      <c r="N39" s="8">
        <v>32000</v>
      </c>
      <c r="O39" s="9">
        <v>210</v>
      </c>
      <c r="P39" s="8">
        <v>2379</v>
      </c>
      <c r="Q39" s="6" t="s">
        <v>126</v>
      </c>
      <c r="R39" s="6" t="s">
        <v>45</v>
      </c>
      <c r="S39" s="6" t="s">
        <v>45</v>
      </c>
      <c r="T39" s="6" t="s">
        <v>45</v>
      </c>
      <c r="U39" s="10">
        <v>1</v>
      </c>
      <c r="V39" s="6" t="s">
        <v>45</v>
      </c>
      <c r="W39" s="10">
        <v>0</v>
      </c>
      <c r="X39" s="6" t="s">
        <v>45</v>
      </c>
      <c r="Y39" s="6" t="s">
        <v>46</v>
      </c>
      <c r="Z39" s="6" t="s">
        <v>45</v>
      </c>
      <c r="AA39" s="10" t="b">
        <v>0</v>
      </c>
      <c r="AB39" s="10" t="b">
        <v>0</v>
      </c>
      <c r="AC39" s="10" t="b">
        <v>1</v>
      </c>
      <c r="AD39" s="7"/>
      <c r="AE39" s="8">
        <v>0</v>
      </c>
      <c r="AF39" s="6" t="s">
        <v>45</v>
      </c>
      <c r="AG39" s="8">
        <v>0</v>
      </c>
      <c r="AH39" s="11"/>
      <c r="AI39" s="12">
        <v>0</v>
      </c>
    </row>
    <row r="40" spans="1:35" x14ac:dyDescent="0.35">
      <c r="A40" s="5" t="s">
        <v>184</v>
      </c>
      <c r="B40" s="6" t="s">
        <v>45</v>
      </c>
      <c r="C40" s="6" t="s">
        <v>140</v>
      </c>
      <c r="D40" s="6" t="s">
        <v>141</v>
      </c>
      <c r="E40" s="42" t="s">
        <v>1041</v>
      </c>
      <c r="F40" s="42" t="s">
        <v>1997</v>
      </c>
      <c r="G40" s="42" t="s">
        <v>1996</v>
      </c>
      <c r="H40" s="6" t="s">
        <v>45</v>
      </c>
      <c r="I40" s="6" t="s">
        <v>45</v>
      </c>
      <c r="J40" s="6" t="s">
        <v>142</v>
      </c>
      <c r="K40" s="6" t="s">
        <v>42</v>
      </c>
      <c r="L40" s="6" t="s">
        <v>52</v>
      </c>
      <c r="M40" s="7">
        <v>45979</v>
      </c>
      <c r="N40" s="8">
        <v>32000</v>
      </c>
      <c r="O40" s="9">
        <v>210</v>
      </c>
      <c r="P40" s="8">
        <v>2379</v>
      </c>
      <c r="Q40" s="6" t="s">
        <v>126</v>
      </c>
      <c r="R40" s="6" t="s">
        <v>45</v>
      </c>
      <c r="S40" s="6" t="s">
        <v>45</v>
      </c>
      <c r="T40" s="6" t="s">
        <v>45</v>
      </c>
      <c r="U40" s="10">
        <v>1</v>
      </c>
      <c r="V40" s="6" t="s">
        <v>45</v>
      </c>
      <c r="W40" s="10">
        <v>0</v>
      </c>
      <c r="X40" s="6" t="s">
        <v>45</v>
      </c>
      <c r="Y40" s="6" t="s">
        <v>46</v>
      </c>
      <c r="Z40" s="6" t="s">
        <v>45</v>
      </c>
      <c r="AA40" s="10" t="b">
        <v>0</v>
      </c>
      <c r="AB40" s="10" t="b">
        <v>0</v>
      </c>
      <c r="AC40" s="10" t="b">
        <v>1</v>
      </c>
      <c r="AD40" s="7"/>
      <c r="AE40" s="8">
        <v>0</v>
      </c>
      <c r="AF40" s="6" t="s">
        <v>45</v>
      </c>
      <c r="AG40" s="8">
        <v>0</v>
      </c>
      <c r="AH40" s="11"/>
      <c r="AI40" s="12">
        <v>0</v>
      </c>
    </row>
    <row r="41" spans="1:35" x14ac:dyDescent="0.35">
      <c r="A41" s="5" t="s">
        <v>185</v>
      </c>
      <c r="B41" s="6" t="s">
        <v>45</v>
      </c>
      <c r="C41" s="6" t="s">
        <v>140</v>
      </c>
      <c r="D41" s="6" t="s">
        <v>141</v>
      </c>
      <c r="E41" s="42" t="s">
        <v>1041</v>
      </c>
      <c r="F41" s="42" t="s">
        <v>1997</v>
      </c>
      <c r="G41" s="42" t="s">
        <v>1996</v>
      </c>
      <c r="H41" s="6" t="s">
        <v>45</v>
      </c>
      <c r="I41" s="6" t="s">
        <v>45</v>
      </c>
      <c r="J41" s="6" t="s">
        <v>142</v>
      </c>
      <c r="K41" s="6" t="s">
        <v>42</v>
      </c>
      <c r="L41" s="6" t="s">
        <v>52</v>
      </c>
      <c r="M41" s="7">
        <v>45979</v>
      </c>
      <c r="N41" s="8">
        <v>32000</v>
      </c>
      <c r="O41" s="9">
        <v>210</v>
      </c>
      <c r="P41" s="8">
        <v>2379</v>
      </c>
      <c r="Q41" s="6" t="s">
        <v>126</v>
      </c>
      <c r="R41" s="6" t="s">
        <v>45</v>
      </c>
      <c r="S41" s="6" t="s">
        <v>45</v>
      </c>
      <c r="T41" s="6" t="s">
        <v>45</v>
      </c>
      <c r="U41" s="10">
        <v>1</v>
      </c>
      <c r="V41" s="6" t="s">
        <v>45</v>
      </c>
      <c r="W41" s="10">
        <v>0</v>
      </c>
      <c r="X41" s="6" t="s">
        <v>45</v>
      </c>
      <c r="Y41" s="6" t="s">
        <v>46</v>
      </c>
      <c r="Z41" s="6" t="s">
        <v>45</v>
      </c>
      <c r="AA41" s="10" t="b">
        <v>0</v>
      </c>
      <c r="AB41" s="10" t="b">
        <v>0</v>
      </c>
      <c r="AC41" s="10" t="b">
        <v>1</v>
      </c>
      <c r="AD41" s="7"/>
      <c r="AE41" s="8">
        <v>0</v>
      </c>
      <c r="AF41" s="6" t="s">
        <v>45</v>
      </c>
      <c r="AG41" s="8">
        <v>0</v>
      </c>
      <c r="AH41" s="11"/>
      <c r="AI41" s="12">
        <v>0</v>
      </c>
    </row>
    <row r="42" spans="1:35" x14ac:dyDescent="0.35">
      <c r="A42" s="5" t="s">
        <v>186</v>
      </c>
      <c r="B42" s="6" t="s">
        <v>45</v>
      </c>
      <c r="C42" s="6" t="s">
        <v>187</v>
      </c>
      <c r="D42" s="6" t="s">
        <v>141</v>
      </c>
      <c r="E42" s="42" t="s">
        <v>1041</v>
      </c>
      <c r="F42" s="42" t="s">
        <v>1997</v>
      </c>
      <c r="G42" s="42" t="s">
        <v>1996</v>
      </c>
      <c r="H42" s="6" t="s">
        <v>45</v>
      </c>
      <c r="I42" s="6" t="s">
        <v>45</v>
      </c>
      <c r="J42" s="6" t="s">
        <v>125</v>
      </c>
      <c r="K42" s="6" t="s">
        <v>42</v>
      </c>
      <c r="L42" s="6" t="s">
        <v>52</v>
      </c>
      <c r="M42" s="7">
        <v>45989</v>
      </c>
      <c r="N42" s="8">
        <v>33153</v>
      </c>
      <c r="O42" s="9">
        <v>200</v>
      </c>
      <c r="P42" s="8">
        <v>1758</v>
      </c>
      <c r="Q42" s="6" t="s">
        <v>109</v>
      </c>
      <c r="R42" s="6" t="s">
        <v>45</v>
      </c>
      <c r="S42" s="6" t="s">
        <v>45</v>
      </c>
      <c r="T42" s="6" t="s">
        <v>45</v>
      </c>
      <c r="U42" s="10">
        <v>1</v>
      </c>
      <c r="V42" s="6" t="s">
        <v>45</v>
      </c>
      <c r="W42" s="10">
        <v>0</v>
      </c>
      <c r="X42" s="6" t="s">
        <v>45</v>
      </c>
      <c r="Y42" s="6" t="s">
        <v>46</v>
      </c>
      <c r="Z42" s="6" t="s">
        <v>45</v>
      </c>
      <c r="AA42" s="10" t="b">
        <v>0</v>
      </c>
      <c r="AB42" s="10" t="b">
        <v>0</v>
      </c>
      <c r="AC42" s="10" t="b">
        <v>0</v>
      </c>
      <c r="AD42" s="7"/>
      <c r="AE42" s="8">
        <v>0</v>
      </c>
      <c r="AF42" s="6" t="s">
        <v>45</v>
      </c>
      <c r="AG42" s="8">
        <v>0</v>
      </c>
      <c r="AH42" s="11"/>
      <c r="AI42" s="12">
        <v>0</v>
      </c>
    </row>
    <row r="43" spans="1:35" x14ac:dyDescent="0.35">
      <c r="A43" s="5" t="s">
        <v>188</v>
      </c>
      <c r="B43" s="6" t="s">
        <v>45</v>
      </c>
      <c r="C43" s="6" t="s">
        <v>189</v>
      </c>
      <c r="D43" s="6" t="s">
        <v>38</v>
      </c>
      <c r="E43" s="42" t="s">
        <v>803</v>
      </c>
      <c r="F43" s="42" t="s">
        <v>2018</v>
      </c>
      <c r="G43" s="42" t="s">
        <v>2006</v>
      </c>
      <c r="H43" s="6" t="s">
        <v>45</v>
      </c>
      <c r="I43" s="6" t="s">
        <v>45</v>
      </c>
      <c r="J43" s="6" t="s">
        <v>190</v>
      </c>
      <c r="K43" s="6" t="s">
        <v>42</v>
      </c>
      <c r="L43" s="6" t="s">
        <v>52</v>
      </c>
      <c r="M43" s="7">
        <v>46013</v>
      </c>
      <c r="N43" s="8">
        <v>18520</v>
      </c>
      <c r="O43" s="9">
        <v>176</v>
      </c>
      <c r="P43" s="8">
        <v>1435</v>
      </c>
      <c r="Q43" s="6" t="s">
        <v>109</v>
      </c>
      <c r="R43" s="6" t="s">
        <v>45</v>
      </c>
      <c r="S43" s="6" t="s">
        <v>45</v>
      </c>
      <c r="T43" s="6" t="s">
        <v>45</v>
      </c>
      <c r="U43" s="10">
        <v>1</v>
      </c>
      <c r="V43" s="6" t="s">
        <v>45</v>
      </c>
      <c r="W43" s="10">
        <v>0</v>
      </c>
      <c r="X43" s="6" t="s">
        <v>45</v>
      </c>
      <c r="Y43" s="6" t="s">
        <v>46</v>
      </c>
      <c r="Z43" s="6" t="s">
        <v>45</v>
      </c>
      <c r="AA43" s="10" t="b">
        <v>0</v>
      </c>
      <c r="AB43" s="10" t="b">
        <v>0</v>
      </c>
      <c r="AC43" s="10" t="b">
        <v>0</v>
      </c>
      <c r="AD43" s="7">
        <v>45414</v>
      </c>
      <c r="AE43" s="8">
        <v>12520</v>
      </c>
      <c r="AF43" s="6" t="s">
        <v>191</v>
      </c>
      <c r="AG43" s="8">
        <v>7435</v>
      </c>
      <c r="AH43" s="11"/>
      <c r="AI43" s="12">
        <v>0</v>
      </c>
    </row>
    <row r="44" spans="1:35" x14ac:dyDescent="0.35">
      <c r="A44" s="5" t="s">
        <v>192</v>
      </c>
      <c r="B44" s="6" t="s">
        <v>45</v>
      </c>
      <c r="C44" s="6" t="s">
        <v>193</v>
      </c>
      <c r="D44" s="6" t="s">
        <v>67</v>
      </c>
      <c r="E44" s="42" t="s">
        <v>1033</v>
      </c>
      <c r="F44" s="42" t="s">
        <v>1997</v>
      </c>
      <c r="G44" s="42" t="s">
        <v>1996</v>
      </c>
      <c r="H44" s="6" t="s">
        <v>45</v>
      </c>
      <c r="I44" s="6" t="s">
        <v>45</v>
      </c>
      <c r="J44" s="6" t="s">
        <v>194</v>
      </c>
      <c r="K44" s="6" t="s">
        <v>42</v>
      </c>
      <c r="L44" s="6" t="s">
        <v>52</v>
      </c>
      <c r="M44" s="7">
        <v>46018</v>
      </c>
      <c r="N44" s="8">
        <v>68269</v>
      </c>
      <c r="O44" s="9">
        <v>172</v>
      </c>
      <c r="P44" s="8">
        <v>2687</v>
      </c>
      <c r="Q44" s="6" t="s">
        <v>126</v>
      </c>
      <c r="R44" s="6" t="s">
        <v>45</v>
      </c>
      <c r="S44" s="6" t="s">
        <v>45</v>
      </c>
      <c r="T44" s="6" t="s">
        <v>45</v>
      </c>
      <c r="U44" s="10">
        <v>1</v>
      </c>
      <c r="V44" s="6" t="s">
        <v>45</v>
      </c>
      <c r="W44" s="10">
        <v>0</v>
      </c>
      <c r="X44" s="6" t="s">
        <v>45</v>
      </c>
      <c r="Y44" s="6" t="s">
        <v>46</v>
      </c>
      <c r="Z44" s="6" t="s">
        <v>45</v>
      </c>
      <c r="AA44" s="10" t="b">
        <v>0</v>
      </c>
      <c r="AB44" s="10" t="b">
        <v>0</v>
      </c>
      <c r="AC44" s="10" t="b">
        <v>0</v>
      </c>
      <c r="AD44" s="7">
        <v>44491</v>
      </c>
      <c r="AE44" s="8">
        <v>44269</v>
      </c>
      <c r="AF44" s="6" t="s">
        <v>195</v>
      </c>
      <c r="AG44" s="8">
        <v>26687</v>
      </c>
      <c r="AH44" s="11"/>
      <c r="AI44" s="12">
        <v>0</v>
      </c>
    </row>
    <row r="45" spans="1:35" x14ac:dyDescent="0.35">
      <c r="A45" s="5" t="s">
        <v>196</v>
      </c>
      <c r="B45" s="6" t="s">
        <v>45</v>
      </c>
      <c r="C45" s="6" t="s">
        <v>197</v>
      </c>
      <c r="D45" s="6" t="s">
        <v>141</v>
      </c>
      <c r="E45" s="42" t="s">
        <v>1041</v>
      </c>
      <c r="F45" s="42" t="s">
        <v>1997</v>
      </c>
      <c r="G45" s="42" t="s">
        <v>1996</v>
      </c>
      <c r="H45" s="6" t="s">
        <v>45</v>
      </c>
      <c r="I45" s="6" t="s">
        <v>45</v>
      </c>
      <c r="J45" s="6" t="s">
        <v>198</v>
      </c>
      <c r="K45" s="6" t="s">
        <v>42</v>
      </c>
      <c r="L45" s="6" t="s">
        <v>52</v>
      </c>
      <c r="M45" s="7">
        <v>46021</v>
      </c>
      <c r="N45" s="8">
        <v>0</v>
      </c>
      <c r="O45" s="9">
        <v>168</v>
      </c>
      <c r="P45" s="8">
        <v>0</v>
      </c>
      <c r="Q45" s="6" t="s">
        <v>44</v>
      </c>
      <c r="R45" s="6" t="s">
        <v>45</v>
      </c>
      <c r="S45" s="6" t="s">
        <v>45</v>
      </c>
      <c r="T45" s="6" t="s">
        <v>45</v>
      </c>
      <c r="U45" s="10">
        <v>1</v>
      </c>
      <c r="V45" s="6" t="s">
        <v>45</v>
      </c>
      <c r="W45" s="10">
        <v>0</v>
      </c>
      <c r="X45" s="6" t="s">
        <v>45</v>
      </c>
      <c r="Y45" s="6" t="s">
        <v>46</v>
      </c>
      <c r="Z45" s="6" t="s">
        <v>45</v>
      </c>
      <c r="AA45" s="10" t="b">
        <v>0</v>
      </c>
      <c r="AB45" s="10" t="b">
        <v>0</v>
      </c>
      <c r="AC45" s="10" t="b">
        <v>0</v>
      </c>
      <c r="AD45" s="7"/>
      <c r="AE45" s="8">
        <v>0</v>
      </c>
      <c r="AF45" s="6" t="s">
        <v>45</v>
      </c>
      <c r="AG45" s="8">
        <v>0</v>
      </c>
      <c r="AH45" s="11"/>
      <c r="AI45" s="12">
        <v>0</v>
      </c>
    </row>
    <row r="46" spans="1:35" x14ac:dyDescent="0.35">
      <c r="A46" s="5" t="s">
        <v>199</v>
      </c>
      <c r="B46" s="6" t="s">
        <v>45</v>
      </c>
      <c r="C46" s="6" t="s">
        <v>197</v>
      </c>
      <c r="D46" s="6" t="s">
        <v>141</v>
      </c>
      <c r="E46" s="42" t="s">
        <v>1041</v>
      </c>
      <c r="F46" s="42" t="s">
        <v>1997</v>
      </c>
      <c r="G46" s="42" t="s">
        <v>1996</v>
      </c>
      <c r="H46" s="6" t="s">
        <v>45</v>
      </c>
      <c r="I46" s="6" t="s">
        <v>45</v>
      </c>
      <c r="J46" s="6" t="s">
        <v>198</v>
      </c>
      <c r="K46" s="6" t="s">
        <v>42</v>
      </c>
      <c r="L46" s="6" t="s">
        <v>52</v>
      </c>
      <c r="M46" s="7">
        <v>46026</v>
      </c>
      <c r="N46" s="8">
        <v>0</v>
      </c>
      <c r="O46" s="9">
        <v>163</v>
      </c>
      <c r="P46" s="8">
        <v>0</v>
      </c>
      <c r="Q46" s="6" t="s">
        <v>44</v>
      </c>
      <c r="R46" s="6" t="s">
        <v>45</v>
      </c>
      <c r="S46" s="6" t="s">
        <v>45</v>
      </c>
      <c r="T46" s="6" t="s">
        <v>45</v>
      </c>
      <c r="U46" s="10">
        <v>1</v>
      </c>
      <c r="V46" s="6" t="s">
        <v>45</v>
      </c>
      <c r="W46" s="10">
        <v>0</v>
      </c>
      <c r="X46" s="6" t="s">
        <v>45</v>
      </c>
      <c r="Y46" s="6" t="s">
        <v>46</v>
      </c>
      <c r="Z46" s="6" t="s">
        <v>45</v>
      </c>
      <c r="AA46" s="10" t="b">
        <v>0</v>
      </c>
      <c r="AB46" s="10" t="b">
        <v>0</v>
      </c>
      <c r="AC46" s="10" t="b">
        <v>0</v>
      </c>
      <c r="AD46" s="7"/>
      <c r="AE46" s="8">
        <v>0</v>
      </c>
      <c r="AF46" s="6" t="s">
        <v>45</v>
      </c>
      <c r="AG46" s="8">
        <v>0</v>
      </c>
      <c r="AH46" s="11"/>
      <c r="AI46" s="12">
        <v>0</v>
      </c>
    </row>
    <row r="47" spans="1:35" x14ac:dyDescent="0.35">
      <c r="A47" s="5" t="s">
        <v>200</v>
      </c>
      <c r="B47" s="6" t="s">
        <v>45</v>
      </c>
      <c r="C47" s="6" t="s">
        <v>197</v>
      </c>
      <c r="D47" s="6" t="s">
        <v>141</v>
      </c>
      <c r="E47" s="42" t="s">
        <v>1041</v>
      </c>
      <c r="F47" s="42" t="s">
        <v>1997</v>
      </c>
      <c r="G47" s="42" t="s">
        <v>1996</v>
      </c>
      <c r="H47" s="6" t="s">
        <v>201</v>
      </c>
      <c r="I47" s="6" t="s">
        <v>202</v>
      </c>
      <c r="J47" s="6" t="s">
        <v>198</v>
      </c>
      <c r="K47" s="6" t="s">
        <v>42</v>
      </c>
      <c r="L47" s="6" t="s">
        <v>43</v>
      </c>
      <c r="M47" s="7">
        <v>46027</v>
      </c>
      <c r="N47" s="8">
        <v>0</v>
      </c>
      <c r="O47" s="9">
        <v>162</v>
      </c>
      <c r="P47" s="8">
        <v>0</v>
      </c>
      <c r="Q47" s="6" t="s">
        <v>44</v>
      </c>
      <c r="R47" s="6" t="s">
        <v>45</v>
      </c>
      <c r="S47" s="6" t="s">
        <v>45</v>
      </c>
      <c r="T47" s="6" t="s">
        <v>45</v>
      </c>
      <c r="U47" s="10">
        <v>1</v>
      </c>
      <c r="V47" s="6" t="s">
        <v>203</v>
      </c>
      <c r="W47" s="10">
        <v>0</v>
      </c>
      <c r="X47" s="6" t="s">
        <v>45</v>
      </c>
      <c r="Y47" s="6" t="s">
        <v>46</v>
      </c>
      <c r="Z47" s="6" t="s">
        <v>45</v>
      </c>
      <c r="AA47" s="10" t="b">
        <v>0</v>
      </c>
      <c r="AB47" s="10" t="b">
        <v>0</v>
      </c>
      <c r="AC47" s="10" t="b">
        <v>0</v>
      </c>
      <c r="AD47" s="7"/>
      <c r="AE47" s="8">
        <v>0</v>
      </c>
      <c r="AF47" s="6" t="s">
        <v>45</v>
      </c>
      <c r="AG47" s="8">
        <v>0</v>
      </c>
      <c r="AH47" s="11"/>
      <c r="AI47" s="12">
        <v>0</v>
      </c>
    </row>
    <row r="48" spans="1:35" x14ac:dyDescent="0.35">
      <c r="A48" s="5" t="s">
        <v>204</v>
      </c>
      <c r="B48" s="6" t="s">
        <v>45</v>
      </c>
      <c r="C48" s="6" t="s">
        <v>205</v>
      </c>
      <c r="D48" s="6" t="s">
        <v>38</v>
      </c>
      <c r="E48" s="42" t="s">
        <v>803</v>
      </c>
      <c r="F48" s="42" t="s">
        <v>2018</v>
      </c>
      <c r="G48" s="42" t="s">
        <v>2006</v>
      </c>
      <c r="H48" s="6" t="s">
        <v>45</v>
      </c>
      <c r="I48" s="6" t="s">
        <v>45</v>
      </c>
      <c r="J48" s="6" t="s">
        <v>206</v>
      </c>
      <c r="K48" s="6" t="s">
        <v>42</v>
      </c>
      <c r="L48" s="6" t="s">
        <v>52</v>
      </c>
      <c r="M48" s="7">
        <v>46038</v>
      </c>
      <c r="N48" s="8">
        <v>18768</v>
      </c>
      <c r="O48" s="9">
        <v>151</v>
      </c>
      <c r="P48" s="8">
        <v>1187</v>
      </c>
      <c r="Q48" s="6" t="s">
        <v>109</v>
      </c>
      <c r="R48" s="6" t="s">
        <v>45</v>
      </c>
      <c r="S48" s="6" t="s">
        <v>45</v>
      </c>
      <c r="T48" s="6" t="s">
        <v>45</v>
      </c>
      <c r="U48" s="10">
        <v>1</v>
      </c>
      <c r="V48" s="6" t="s">
        <v>45</v>
      </c>
      <c r="W48" s="10">
        <v>0</v>
      </c>
      <c r="X48" s="6" t="s">
        <v>45</v>
      </c>
      <c r="Y48" s="6" t="s">
        <v>46</v>
      </c>
      <c r="Z48" s="6" t="s">
        <v>45</v>
      </c>
      <c r="AA48" s="10" t="b">
        <v>0</v>
      </c>
      <c r="AB48" s="10" t="b">
        <v>0</v>
      </c>
      <c r="AC48" s="10" t="b">
        <v>0</v>
      </c>
      <c r="AD48" s="7">
        <v>45631</v>
      </c>
      <c r="AE48" s="8">
        <v>13768</v>
      </c>
      <c r="AF48" s="6" t="s">
        <v>207</v>
      </c>
      <c r="AG48" s="8">
        <v>6187</v>
      </c>
      <c r="AH48" s="11"/>
      <c r="AI48" s="12">
        <v>0</v>
      </c>
    </row>
    <row r="49" spans="1:35" x14ac:dyDescent="0.35">
      <c r="A49" s="5" t="s">
        <v>208</v>
      </c>
      <c r="B49" s="6" t="s">
        <v>45</v>
      </c>
      <c r="C49" s="6" t="s">
        <v>209</v>
      </c>
      <c r="D49" s="6" t="s">
        <v>210</v>
      </c>
      <c r="E49" s="42" t="s">
        <v>2047</v>
      </c>
      <c r="F49" s="42" t="s">
        <v>2009</v>
      </c>
      <c r="G49" s="42" t="s">
        <v>2010</v>
      </c>
      <c r="H49" s="6" t="s">
        <v>211</v>
      </c>
      <c r="I49" s="6" t="s">
        <v>212</v>
      </c>
      <c r="J49" s="6" t="s">
        <v>213</v>
      </c>
      <c r="K49" s="6" t="s">
        <v>42</v>
      </c>
      <c r="L49" s="6" t="s">
        <v>172</v>
      </c>
      <c r="M49" s="7">
        <v>46044</v>
      </c>
      <c r="N49" s="8">
        <v>12000</v>
      </c>
      <c r="O49" s="9">
        <v>144</v>
      </c>
      <c r="P49" s="8">
        <v>1477</v>
      </c>
      <c r="Q49" s="6" t="s">
        <v>126</v>
      </c>
      <c r="R49" s="6" t="s">
        <v>45</v>
      </c>
      <c r="S49" s="6" t="s">
        <v>45</v>
      </c>
      <c r="T49" s="6" t="s">
        <v>45</v>
      </c>
      <c r="U49" s="10">
        <v>1</v>
      </c>
      <c r="V49" s="6" t="s">
        <v>45</v>
      </c>
      <c r="W49" s="10">
        <v>0</v>
      </c>
      <c r="X49" s="6" t="s">
        <v>45</v>
      </c>
      <c r="Y49" s="6" t="s">
        <v>46</v>
      </c>
      <c r="Z49" s="6" t="s">
        <v>45</v>
      </c>
      <c r="AA49" s="10" t="b">
        <v>0</v>
      </c>
      <c r="AB49" s="10" t="b">
        <v>0</v>
      </c>
      <c r="AC49" s="10" t="b">
        <v>1</v>
      </c>
      <c r="AD49" s="7"/>
      <c r="AE49" s="8">
        <v>0</v>
      </c>
      <c r="AF49" s="6" t="s">
        <v>45</v>
      </c>
      <c r="AG49" s="8">
        <v>0</v>
      </c>
      <c r="AH49" s="11"/>
      <c r="AI49" s="12">
        <v>0</v>
      </c>
    </row>
    <row r="50" spans="1:35" x14ac:dyDescent="0.35">
      <c r="A50" s="5" t="s">
        <v>214</v>
      </c>
      <c r="B50" s="6" t="s">
        <v>45</v>
      </c>
      <c r="C50" s="6" t="s">
        <v>215</v>
      </c>
      <c r="D50" s="6" t="s">
        <v>216</v>
      </c>
      <c r="E50" s="42" t="s">
        <v>2054</v>
      </c>
      <c r="F50" s="42" t="s">
        <v>2017</v>
      </c>
      <c r="G50" s="42" t="s">
        <v>2014</v>
      </c>
      <c r="H50" s="6" t="s">
        <v>217</v>
      </c>
      <c r="I50" s="6" t="s">
        <v>218</v>
      </c>
      <c r="J50" s="6" t="s">
        <v>41</v>
      </c>
      <c r="K50" s="6" t="s">
        <v>42</v>
      </c>
      <c r="L50" s="6" t="s">
        <v>172</v>
      </c>
      <c r="M50" s="7">
        <v>46048</v>
      </c>
      <c r="N50" s="8">
        <v>0</v>
      </c>
      <c r="O50" s="9">
        <v>142</v>
      </c>
      <c r="P50" s="8">
        <v>0</v>
      </c>
      <c r="Q50" s="6" t="s">
        <v>58</v>
      </c>
      <c r="R50" s="6" t="s">
        <v>45</v>
      </c>
      <c r="S50" s="6" t="s">
        <v>100</v>
      </c>
      <c r="T50" s="6" t="s">
        <v>45</v>
      </c>
      <c r="U50" s="10">
        <v>1</v>
      </c>
      <c r="V50" s="6" t="s">
        <v>45</v>
      </c>
      <c r="W50" s="10">
        <v>0</v>
      </c>
      <c r="X50" s="6" t="s">
        <v>45</v>
      </c>
      <c r="Y50" s="6" t="s">
        <v>46</v>
      </c>
      <c r="Z50" s="6" t="s">
        <v>45</v>
      </c>
      <c r="AA50" s="10" t="b">
        <v>0</v>
      </c>
      <c r="AB50" s="10" t="b">
        <v>0</v>
      </c>
      <c r="AC50" s="10" t="b">
        <v>1</v>
      </c>
      <c r="AD50" s="7">
        <v>45683</v>
      </c>
      <c r="AE50" s="8">
        <v>0</v>
      </c>
      <c r="AF50" s="6" t="s">
        <v>219</v>
      </c>
      <c r="AG50" s="8">
        <v>0</v>
      </c>
      <c r="AH50" s="11"/>
      <c r="AI50" s="12">
        <v>0</v>
      </c>
    </row>
    <row r="51" spans="1:35" x14ac:dyDescent="0.35">
      <c r="A51" s="5" t="s">
        <v>220</v>
      </c>
      <c r="B51" s="6" t="s">
        <v>45</v>
      </c>
      <c r="C51" s="6" t="s">
        <v>221</v>
      </c>
      <c r="D51" s="6" t="s">
        <v>222</v>
      </c>
      <c r="E51" s="42" t="s">
        <v>2055</v>
      </c>
      <c r="F51" s="42" t="s">
        <v>2020</v>
      </c>
      <c r="G51" s="42" t="s">
        <v>2001</v>
      </c>
      <c r="H51" s="6" t="s">
        <v>223</v>
      </c>
      <c r="I51" s="6" t="s">
        <v>224</v>
      </c>
      <c r="J51" s="6" t="s">
        <v>93</v>
      </c>
      <c r="K51" s="6" t="s">
        <v>42</v>
      </c>
      <c r="L51" s="6" t="s">
        <v>52</v>
      </c>
      <c r="M51" s="7">
        <v>46068</v>
      </c>
      <c r="N51" s="8">
        <v>500</v>
      </c>
      <c r="O51" s="9">
        <v>121</v>
      </c>
      <c r="P51" s="8">
        <v>144</v>
      </c>
      <c r="Q51" s="6" t="s">
        <v>126</v>
      </c>
      <c r="R51" s="6" t="s">
        <v>45</v>
      </c>
      <c r="S51" s="6" t="s">
        <v>45</v>
      </c>
      <c r="T51" s="6" t="s">
        <v>45</v>
      </c>
      <c r="U51" s="10">
        <v>1</v>
      </c>
      <c r="V51" s="6" t="s">
        <v>45</v>
      </c>
      <c r="W51" s="10">
        <v>0</v>
      </c>
      <c r="X51" s="6" t="s">
        <v>45</v>
      </c>
      <c r="Y51" s="6" t="s">
        <v>46</v>
      </c>
      <c r="Z51" s="6" t="s">
        <v>45</v>
      </c>
      <c r="AA51" s="10" t="b">
        <v>0</v>
      </c>
      <c r="AB51" s="10" t="b">
        <v>0</v>
      </c>
      <c r="AC51" s="10" t="b">
        <v>0</v>
      </c>
      <c r="AD51" s="7"/>
      <c r="AE51" s="8">
        <v>0</v>
      </c>
      <c r="AF51" s="6" t="s">
        <v>45</v>
      </c>
      <c r="AG51" s="8">
        <v>0</v>
      </c>
      <c r="AH51" s="11"/>
      <c r="AI51" s="12">
        <v>0</v>
      </c>
    </row>
    <row r="52" spans="1:35" x14ac:dyDescent="0.35">
      <c r="A52" s="5" t="s">
        <v>225</v>
      </c>
      <c r="B52" s="6" t="s">
        <v>45</v>
      </c>
      <c r="C52" s="6" t="s">
        <v>187</v>
      </c>
      <c r="D52" s="6" t="s">
        <v>141</v>
      </c>
      <c r="E52" s="42" t="s">
        <v>1041</v>
      </c>
      <c r="F52" s="42" t="s">
        <v>1997</v>
      </c>
      <c r="G52" s="42" t="s">
        <v>1996</v>
      </c>
      <c r="H52" s="6" t="s">
        <v>45</v>
      </c>
      <c r="I52" s="6" t="s">
        <v>45</v>
      </c>
      <c r="J52" s="6" t="s">
        <v>125</v>
      </c>
      <c r="K52" s="6" t="s">
        <v>42</v>
      </c>
      <c r="L52" s="6" t="s">
        <v>52</v>
      </c>
      <c r="M52" s="7">
        <v>46069</v>
      </c>
      <c r="N52" s="8">
        <v>33045</v>
      </c>
      <c r="O52" s="9">
        <v>120</v>
      </c>
      <c r="P52" s="8">
        <v>1334</v>
      </c>
      <c r="Q52" s="6" t="s">
        <v>109</v>
      </c>
      <c r="R52" s="6" t="s">
        <v>45</v>
      </c>
      <c r="S52" s="6" t="s">
        <v>45</v>
      </c>
      <c r="T52" s="6" t="s">
        <v>45</v>
      </c>
      <c r="U52" s="10">
        <v>1</v>
      </c>
      <c r="V52" s="6" t="s">
        <v>45</v>
      </c>
      <c r="W52" s="10">
        <v>0</v>
      </c>
      <c r="X52" s="6" t="s">
        <v>45</v>
      </c>
      <c r="Y52" s="6" t="s">
        <v>46</v>
      </c>
      <c r="Z52" s="6" t="s">
        <v>45</v>
      </c>
      <c r="AA52" s="10" t="b">
        <v>0</v>
      </c>
      <c r="AB52" s="10" t="b">
        <v>0</v>
      </c>
      <c r="AC52" s="10" t="b">
        <v>0</v>
      </c>
      <c r="AD52" s="7"/>
      <c r="AE52" s="8">
        <v>0</v>
      </c>
      <c r="AF52" s="6" t="s">
        <v>45</v>
      </c>
      <c r="AG52" s="8">
        <v>0</v>
      </c>
      <c r="AH52" s="11"/>
      <c r="AI52" s="12">
        <v>0</v>
      </c>
    </row>
    <row r="53" spans="1:35" x14ac:dyDescent="0.35">
      <c r="A53" s="5" t="s">
        <v>226</v>
      </c>
      <c r="B53" s="6" t="s">
        <v>45</v>
      </c>
      <c r="C53" s="6" t="s">
        <v>215</v>
      </c>
      <c r="D53" s="6" t="s">
        <v>222</v>
      </c>
      <c r="E53" s="42" t="s">
        <v>2055</v>
      </c>
      <c r="F53" s="42" t="s">
        <v>2020</v>
      </c>
      <c r="G53" s="42" t="s">
        <v>2001</v>
      </c>
      <c r="H53" s="6" t="s">
        <v>217</v>
      </c>
      <c r="I53" s="6" t="s">
        <v>218</v>
      </c>
      <c r="J53" s="6" t="s">
        <v>41</v>
      </c>
      <c r="K53" s="6" t="s">
        <v>42</v>
      </c>
      <c r="L53" s="6" t="s">
        <v>172</v>
      </c>
      <c r="M53" s="7">
        <v>46073</v>
      </c>
      <c r="N53" s="8">
        <v>0</v>
      </c>
      <c r="O53" s="9">
        <v>116</v>
      </c>
      <c r="P53" s="8">
        <v>0</v>
      </c>
      <c r="Q53" s="6" t="s">
        <v>58</v>
      </c>
      <c r="R53" s="6" t="s">
        <v>45</v>
      </c>
      <c r="S53" s="6" t="s">
        <v>227</v>
      </c>
      <c r="T53" s="6" t="s">
        <v>215</v>
      </c>
      <c r="U53" s="10">
        <v>1</v>
      </c>
      <c r="V53" s="6" t="s">
        <v>45</v>
      </c>
      <c r="W53" s="10">
        <v>0</v>
      </c>
      <c r="X53" s="6" t="s">
        <v>45</v>
      </c>
      <c r="Y53" s="6" t="s">
        <v>46</v>
      </c>
      <c r="Z53" s="6" t="s">
        <v>45</v>
      </c>
      <c r="AA53" s="10" t="b">
        <v>0</v>
      </c>
      <c r="AB53" s="10" t="b">
        <v>0</v>
      </c>
      <c r="AC53" s="10" t="b">
        <v>1</v>
      </c>
      <c r="AD53" s="7"/>
      <c r="AE53" s="8">
        <v>0</v>
      </c>
      <c r="AF53" s="6" t="s">
        <v>45</v>
      </c>
      <c r="AG53" s="8">
        <v>0</v>
      </c>
      <c r="AH53" s="11"/>
      <c r="AI53" s="12">
        <v>0</v>
      </c>
    </row>
    <row r="54" spans="1:35" x14ac:dyDescent="0.35">
      <c r="A54" s="5" t="s">
        <v>228</v>
      </c>
      <c r="B54" s="6" t="s">
        <v>45</v>
      </c>
      <c r="C54" s="6" t="s">
        <v>229</v>
      </c>
      <c r="D54" s="6" t="s">
        <v>98</v>
      </c>
      <c r="E54" s="42" t="s">
        <v>2053</v>
      </c>
      <c r="F54" s="42" t="s">
        <v>2005</v>
      </c>
      <c r="G54" s="42" t="s">
        <v>2006</v>
      </c>
      <c r="H54" s="6" t="s">
        <v>45</v>
      </c>
      <c r="I54" s="6" t="s">
        <v>45</v>
      </c>
      <c r="J54" s="6" t="s">
        <v>45</v>
      </c>
      <c r="K54" s="6" t="s">
        <v>42</v>
      </c>
      <c r="L54" s="6" t="s">
        <v>168</v>
      </c>
      <c r="M54" s="7">
        <v>45805</v>
      </c>
      <c r="N54" s="8">
        <v>0</v>
      </c>
      <c r="O54" s="9">
        <v>115</v>
      </c>
      <c r="P54" s="8">
        <v>0</v>
      </c>
      <c r="Q54" s="6" t="s">
        <v>126</v>
      </c>
      <c r="R54" s="6" t="s">
        <v>45</v>
      </c>
      <c r="S54" s="6" t="s">
        <v>45</v>
      </c>
      <c r="T54" s="6" t="s">
        <v>45</v>
      </c>
      <c r="U54" s="10">
        <v>0</v>
      </c>
      <c r="V54" s="6" t="s">
        <v>45</v>
      </c>
      <c r="W54" s="10">
        <v>0</v>
      </c>
      <c r="X54" s="6" t="s">
        <v>45</v>
      </c>
      <c r="Y54" s="6" t="s">
        <v>46</v>
      </c>
      <c r="Z54" s="6" t="s">
        <v>45</v>
      </c>
      <c r="AA54" s="10" t="b">
        <v>0</v>
      </c>
      <c r="AB54" s="10" t="b">
        <v>0</v>
      </c>
      <c r="AC54" s="10" t="b">
        <v>0</v>
      </c>
      <c r="AD54" s="7"/>
      <c r="AE54" s="8">
        <v>0</v>
      </c>
      <c r="AF54" s="6" t="s">
        <v>45</v>
      </c>
      <c r="AG54" s="8">
        <v>0</v>
      </c>
      <c r="AH54" s="11"/>
      <c r="AI54" s="12">
        <v>0</v>
      </c>
    </row>
    <row r="55" spans="1:35" x14ac:dyDescent="0.35">
      <c r="A55" s="5" t="s">
        <v>230</v>
      </c>
      <c r="B55" s="6" t="s">
        <v>45</v>
      </c>
      <c r="C55" s="6" t="s">
        <v>193</v>
      </c>
      <c r="D55" s="6" t="s">
        <v>124</v>
      </c>
      <c r="E55" s="42" t="s">
        <v>725</v>
      </c>
      <c r="F55" s="42" t="s">
        <v>2002</v>
      </c>
      <c r="G55" s="42" t="s">
        <v>1996</v>
      </c>
      <c r="H55" s="6" t="s">
        <v>45</v>
      </c>
      <c r="I55" s="6" t="s">
        <v>45</v>
      </c>
      <c r="J55" s="6" t="s">
        <v>213</v>
      </c>
      <c r="K55" s="6" t="s">
        <v>42</v>
      </c>
      <c r="L55" s="6" t="s">
        <v>52</v>
      </c>
      <c r="M55" s="7">
        <v>46076</v>
      </c>
      <c r="N55" s="8">
        <v>98664</v>
      </c>
      <c r="O55" s="9">
        <v>114</v>
      </c>
      <c r="P55" s="8">
        <v>1985</v>
      </c>
      <c r="Q55" s="6" t="s">
        <v>126</v>
      </c>
      <c r="R55" s="6" t="s">
        <v>45</v>
      </c>
      <c r="S55" s="6" t="s">
        <v>45</v>
      </c>
      <c r="T55" s="6" t="s">
        <v>45</v>
      </c>
      <c r="U55" s="10">
        <v>1</v>
      </c>
      <c r="V55" s="6" t="s">
        <v>45</v>
      </c>
      <c r="W55" s="10">
        <v>0</v>
      </c>
      <c r="X55" s="6" t="s">
        <v>45</v>
      </c>
      <c r="Y55" s="6" t="s">
        <v>46</v>
      </c>
      <c r="Z55" s="6" t="s">
        <v>45</v>
      </c>
      <c r="AA55" s="10" t="b">
        <v>0</v>
      </c>
      <c r="AB55" s="10" t="b">
        <v>0</v>
      </c>
      <c r="AC55" s="10" t="b">
        <v>0</v>
      </c>
      <c r="AD55" s="7">
        <v>45388</v>
      </c>
      <c r="AE55" s="8">
        <v>86664</v>
      </c>
      <c r="AF55" s="6" t="s">
        <v>231</v>
      </c>
      <c r="AG55" s="8">
        <v>13985</v>
      </c>
      <c r="AH55" s="11"/>
      <c r="AI55" s="12">
        <v>0</v>
      </c>
    </row>
    <row r="56" spans="1:35" x14ac:dyDescent="0.35">
      <c r="A56" s="5" t="s">
        <v>232</v>
      </c>
      <c r="B56" s="6" t="s">
        <v>45</v>
      </c>
      <c r="C56" s="6" t="s">
        <v>233</v>
      </c>
      <c r="D56" s="6" t="s">
        <v>38</v>
      </c>
      <c r="E56" s="42" t="s">
        <v>803</v>
      </c>
      <c r="F56" s="42" t="s">
        <v>2018</v>
      </c>
      <c r="G56" s="42" t="s">
        <v>2006</v>
      </c>
      <c r="H56" s="6" t="s">
        <v>45</v>
      </c>
      <c r="I56" s="6" t="s">
        <v>45</v>
      </c>
      <c r="J56" s="6" t="s">
        <v>125</v>
      </c>
      <c r="K56" s="6" t="s">
        <v>42</v>
      </c>
      <c r="L56" s="6" t="s">
        <v>52</v>
      </c>
      <c r="M56" s="7">
        <v>46078</v>
      </c>
      <c r="N56" s="8">
        <v>19000</v>
      </c>
      <c r="O56" s="9">
        <v>111</v>
      </c>
      <c r="P56" s="8">
        <v>550</v>
      </c>
      <c r="Q56" s="6" t="s">
        <v>109</v>
      </c>
      <c r="R56" s="6" t="s">
        <v>45</v>
      </c>
      <c r="S56" s="6" t="s">
        <v>45</v>
      </c>
      <c r="T56" s="6" t="s">
        <v>45</v>
      </c>
      <c r="U56" s="10">
        <v>1</v>
      </c>
      <c r="V56" s="6" t="s">
        <v>45</v>
      </c>
      <c r="W56" s="10">
        <v>0</v>
      </c>
      <c r="X56" s="6" t="s">
        <v>45</v>
      </c>
      <c r="Y56" s="6" t="s">
        <v>46</v>
      </c>
      <c r="Z56" s="6" t="s">
        <v>45</v>
      </c>
      <c r="AA56" s="10" t="b">
        <v>0</v>
      </c>
      <c r="AB56" s="10" t="b">
        <v>0</v>
      </c>
      <c r="AC56" s="10" t="b">
        <v>0</v>
      </c>
      <c r="AD56" s="7"/>
      <c r="AE56" s="8">
        <v>0</v>
      </c>
      <c r="AF56" s="6" t="s">
        <v>45</v>
      </c>
      <c r="AG56" s="8">
        <v>0</v>
      </c>
      <c r="AH56" s="11"/>
      <c r="AI56" s="12">
        <v>0</v>
      </c>
    </row>
    <row r="57" spans="1:35" x14ac:dyDescent="0.35">
      <c r="A57" s="5" t="s">
        <v>234</v>
      </c>
      <c r="B57" s="6" t="s">
        <v>45</v>
      </c>
      <c r="C57" s="6" t="s">
        <v>189</v>
      </c>
      <c r="D57" s="6" t="s">
        <v>38</v>
      </c>
      <c r="E57" s="42" t="s">
        <v>803</v>
      </c>
      <c r="F57" s="42" t="s">
        <v>2018</v>
      </c>
      <c r="G57" s="42" t="s">
        <v>2006</v>
      </c>
      <c r="H57" s="6" t="s">
        <v>45</v>
      </c>
      <c r="I57" s="6" t="s">
        <v>45</v>
      </c>
      <c r="J57" s="6" t="s">
        <v>190</v>
      </c>
      <c r="K57" s="6" t="s">
        <v>42</v>
      </c>
      <c r="L57" s="6" t="s">
        <v>52</v>
      </c>
      <c r="M57" s="7">
        <v>46088</v>
      </c>
      <c r="N57" s="8">
        <v>12428</v>
      </c>
      <c r="O57" s="9">
        <v>101</v>
      </c>
      <c r="P57" s="8">
        <v>635</v>
      </c>
      <c r="Q57" s="6" t="s">
        <v>109</v>
      </c>
      <c r="R57" s="6" t="s">
        <v>45</v>
      </c>
      <c r="S57" s="6" t="s">
        <v>45</v>
      </c>
      <c r="T57" s="6" t="s">
        <v>45</v>
      </c>
      <c r="U57" s="10">
        <v>1</v>
      </c>
      <c r="V57" s="6" t="s">
        <v>45</v>
      </c>
      <c r="W57" s="10">
        <v>0</v>
      </c>
      <c r="X57" s="6" t="s">
        <v>45</v>
      </c>
      <c r="Y57" s="6" t="s">
        <v>46</v>
      </c>
      <c r="Z57" s="6" t="s">
        <v>45</v>
      </c>
      <c r="AA57" s="10" t="b">
        <v>0</v>
      </c>
      <c r="AB57" s="10" t="b">
        <v>0</v>
      </c>
      <c r="AC57" s="10" t="b">
        <v>0</v>
      </c>
      <c r="AD57" s="7">
        <v>45418</v>
      </c>
      <c r="AE57" s="8">
        <v>6428</v>
      </c>
      <c r="AF57" s="6" t="s">
        <v>235</v>
      </c>
      <c r="AG57" s="8">
        <v>6635</v>
      </c>
      <c r="AH57" s="11"/>
      <c r="AI57" s="12">
        <v>0</v>
      </c>
    </row>
    <row r="58" spans="1:35" x14ac:dyDescent="0.35">
      <c r="A58" s="5" t="s">
        <v>236</v>
      </c>
      <c r="B58" s="6" t="s">
        <v>45</v>
      </c>
      <c r="C58" s="6" t="s">
        <v>152</v>
      </c>
      <c r="D58" s="6" t="s">
        <v>124</v>
      </c>
      <c r="E58" s="42" t="s">
        <v>725</v>
      </c>
      <c r="F58" s="42" t="s">
        <v>2002</v>
      </c>
      <c r="G58" s="42" t="s">
        <v>1996</v>
      </c>
      <c r="H58" s="6" t="s">
        <v>45</v>
      </c>
      <c r="I58" s="6" t="s">
        <v>45</v>
      </c>
      <c r="J58" s="6" t="s">
        <v>142</v>
      </c>
      <c r="K58" s="6" t="s">
        <v>42</v>
      </c>
      <c r="L58" s="6" t="s">
        <v>52</v>
      </c>
      <c r="M58" s="7">
        <v>46090</v>
      </c>
      <c r="N58" s="8">
        <v>98914</v>
      </c>
      <c r="O58" s="9">
        <v>100</v>
      </c>
      <c r="P58" s="8">
        <v>1735</v>
      </c>
      <c r="Q58" s="6" t="s">
        <v>126</v>
      </c>
      <c r="R58" s="6" t="s">
        <v>45</v>
      </c>
      <c r="S58" s="6" t="s">
        <v>45</v>
      </c>
      <c r="T58" s="6" t="s">
        <v>45</v>
      </c>
      <c r="U58" s="10">
        <v>1</v>
      </c>
      <c r="V58" s="6" t="s">
        <v>45</v>
      </c>
      <c r="W58" s="10">
        <v>0</v>
      </c>
      <c r="X58" s="6" t="s">
        <v>45</v>
      </c>
      <c r="Y58" s="6" t="s">
        <v>46</v>
      </c>
      <c r="Z58" s="6" t="s">
        <v>45</v>
      </c>
      <c r="AA58" s="10" t="b">
        <v>0</v>
      </c>
      <c r="AB58" s="10" t="b">
        <v>0</v>
      </c>
      <c r="AC58" s="10" t="b">
        <v>0</v>
      </c>
      <c r="AD58" s="7">
        <v>44197</v>
      </c>
      <c r="AE58" s="8">
        <v>66914</v>
      </c>
      <c r="AF58" s="6" t="s">
        <v>237</v>
      </c>
      <c r="AG58" s="8">
        <v>33735</v>
      </c>
      <c r="AH58" s="11"/>
      <c r="AI58" s="12">
        <v>0</v>
      </c>
    </row>
    <row r="59" spans="1:35" x14ac:dyDescent="0.35">
      <c r="A59" s="5" t="s">
        <v>238</v>
      </c>
      <c r="B59" s="6" t="s">
        <v>45</v>
      </c>
      <c r="C59" s="6" t="s">
        <v>239</v>
      </c>
      <c r="D59" s="6" t="s">
        <v>158</v>
      </c>
      <c r="E59" s="42" t="s">
        <v>2026</v>
      </c>
      <c r="F59" s="42" t="s">
        <v>1995</v>
      </c>
      <c r="G59" s="42" t="s">
        <v>1996</v>
      </c>
      <c r="H59" s="6" t="s">
        <v>240</v>
      </c>
      <c r="I59" s="6" t="s">
        <v>241</v>
      </c>
      <c r="J59" s="6" t="s">
        <v>41</v>
      </c>
      <c r="K59" s="6" t="s">
        <v>42</v>
      </c>
      <c r="L59" s="6" t="s">
        <v>52</v>
      </c>
      <c r="M59" s="7">
        <v>46091</v>
      </c>
      <c r="N59" s="8">
        <v>0</v>
      </c>
      <c r="O59" s="9">
        <v>98</v>
      </c>
      <c r="P59" s="8">
        <v>0</v>
      </c>
      <c r="Q59" s="6" t="s">
        <v>44</v>
      </c>
      <c r="R59" s="6" t="s">
        <v>45</v>
      </c>
      <c r="S59" s="6" t="s">
        <v>45</v>
      </c>
      <c r="T59" s="6" t="s">
        <v>45</v>
      </c>
      <c r="U59" s="10">
        <v>1</v>
      </c>
      <c r="V59" s="6" t="s">
        <v>45</v>
      </c>
      <c r="W59" s="10">
        <v>0</v>
      </c>
      <c r="X59" s="6" t="s">
        <v>45</v>
      </c>
      <c r="Y59" s="6" t="s">
        <v>46</v>
      </c>
      <c r="Z59" s="6" t="s">
        <v>45</v>
      </c>
      <c r="AA59" s="10" t="b">
        <v>0</v>
      </c>
      <c r="AB59" s="10" t="b">
        <v>0</v>
      </c>
      <c r="AC59" s="10" t="b">
        <v>1</v>
      </c>
      <c r="AD59" s="7">
        <v>45726</v>
      </c>
      <c r="AE59" s="8">
        <v>0</v>
      </c>
      <c r="AF59" s="6" t="s">
        <v>162</v>
      </c>
      <c r="AG59" s="8">
        <v>0</v>
      </c>
      <c r="AH59" s="11"/>
      <c r="AI59" s="12">
        <v>0</v>
      </c>
    </row>
    <row r="60" spans="1:35" x14ac:dyDescent="0.35">
      <c r="A60" s="5" t="s">
        <v>242</v>
      </c>
      <c r="B60" s="6" t="s">
        <v>45</v>
      </c>
      <c r="C60" s="6" t="s">
        <v>243</v>
      </c>
      <c r="D60" s="6" t="s">
        <v>244</v>
      </c>
      <c r="E60" s="42" t="s">
        <v>2036</v>
      </c>
      <c r="F60" s="42" t="s">
        <v>2019</v>
      </c>
      <c r="G60" s="42" t="s">
        <v>2010</v>
      </c>
      <c r="H60" s="6" t="s">
        <v>45</v>
      </c>
      <c r="I60" s="6" t="s">
        <v>45</v>
      </c>
      <c r="J60" s="6" t="s">
        <v>161</v>
      </c>
      <c r="K60" s="6" t="s">
        <v>42</v>
      </c>
      <c r="L60" s="6" t="s">
        <v>52</v>
      </c>
      <c r="M60" s="7">
        <v>46092</v>
      </c>
      <c r="N60" s="8">
        <v>0</v>
      </c>
      <c r="O60" s="9">
        <v>98</v>
      </c>
      <c r="P60" s="8">
        <v>0</v>
      </c>
      <c r="Q60" s="6" t="s">
        <v>44</v>
      </c>
      <c r="R60" s="6" t="s">
        <v>45</v>
      </c>
      <c r="S60" s="6" t="s">
        <v>45</v>
      </c>
      <c r="T60" s="6" t="s">
        <v>45</v>
      </c>
      <c r="U60" s="10">
        <v>1</v>
      </c>
      <c r="V60" s="6" t="s">
        <v>45</v>
      </c>
      <c r="W60" s="10">
        <v>0</v>
      </c>
      <c r="X60" s="6" t="s">
        <v>45</v>
      </c>
      <c r="Y60" s="6" t="s">
        <v>46</v>
      </c>
      <c r="Z60" s="6" t="s">
        <v>45</v>
      </c>
      <c r="AA60" s="10" t="b">
        <v>0</v>
      </c>
      <c r="AB60" s="10" t="b">
        <v>0</v>
      </c>
      <c r="AC60" s="10" t="b">
        <v>0</v>
      </c>
      <c r="AD60" s="7">
        <v>46107</v>
      </c>
      <c r="AE60" s="8">
        <v>0</v>
      </c>
      <c r="AF60" s="6" t="s">
        <v>245</v>
      </c>
      <c r="AG60" s="8">
        <v>0</v>
      </c>
      <c r="AH60" s="11"/>
      <c r="AI60" s="12">
        <v>0</v>
      </c>
    </row>
    <row r="61" spans="1:35" x14ac:dyDescent="0.35">
      <c r="A61" s="5" t="s">
        <v>246</v>
      </c>
      <c r="B61" s="6" t="s">
        <v>45</v>
      </c>
      <c r="C61" s="6" t="s">
        <v>243</v>
      </c>
      <c r="D61" s="6" t="s">
        <v>244</v>
      </c>
      <c r="E61" s="42" t="s">
        <v>2036</v>
      </c>
      <c r="F61" s="42" t="s">
        <v>2019</v>
      </c>
      <c r="G61" s="42" t="s">
        <v>2010</v>
      </c>
      <c r="H61" s="6" t="s">
        <v>45</v>
      </c>
      <c r="I61" s="6" t="s">
        <v>45</v>
      </c>
      <c r="J61" s="6" t="s">
        <v>161</v>
      </c>
      <c r="K61" s="6" t="s">
        <v>42</v>
      </c>
      <c r="L61" s="6" t="s">
        <v>52</v>
      </c>
      <c r="M61" s="7">
        <v>46092</v>
      </c>
      <c r="N61" s="8">
        <v>0</v>
      </c>
      <c r="O61" s="9">
        <v>98</v>
      </c>
      <c r="P61" s="8">
        <v>0</v>
      </c>
      <c r="Q61" s="6" t="s">
        <v>44</v>
      </c>
      <c r="R61" s="6" t="s">
        <v>45</v>
      </c>
      <c r="S61" s="6" t="s">
        <v>45</v>
      </c>
      <c r="T61" s="6" t="s">
        <v>45</v>
      </c>
      <c r="U61" s="10">
        <v>1</v>
      </c>
      <c r="V61" s="6" t="s">
        <v>45</v>
      </c>
      <c r="W61" s="10">
        <v>0</v>
      </c>
      <c r="X61" s="6" t="s">
        <v>45</v>
      </c>
      <c r="Y61" s="6" t="s">
        <v>46</v>
      </c>
      <c r="Z61" s="6" t="s">
        <v>45</v>
      </c>
      <c r="AA61" s="10" t="b">
        <v>0</v>
      </c>
      <c r="AB61" s="10" t="b">
        <v>0</v>
      </c>
      <c r="AC61" s="10" t="b">
        <v>0</v>
      </c>
      <c r="AD61" s="7">
        <v>46140</v>
      </c>
      <c r="AE61" s="8">
        <v>0</v>
      </c>
      <c r="AF61" s="6" t="s">
        <v>247</v>
      </c>
      <c r="AG61" s="8">
        <v>0</v>
      </c>
      <c r="AH61" s="11"/>
      <c r="AI61" s="12">
        <v>0</v>
      </c>
    </row>
    <row r="62" spans="1:35" x14ac:dyDescent="0.35">
      <c r="A62" s="5" t="s">
        <v>248</v>
      </c>
      <c r="B62" s="6" t="s">
        <v>45</v>
      </c>
      <c r="C62" s="6" t="s">
        <v>249</v>
      </c>
      <c r="D62" s="6" t="s">
        <v>250</v>
      </c>
      <c r="E62" s="42" t="s">
        <v>1989</v>
      </c>
      <c r="F62" s="42" t="s">
        <v>2016</v>
      </c>
      <c r="G62" s="42" t="s">
        <v>2014</v>
      </c>
      <c r="H62" s="6" t="s">
        <v>251</v>
      </c>
      <c r="I62" s="6" t="s">
        <v>252</v>
      </c>
      <c r="J62" s="6" t="s">
        <v>253</v>
      </c>
      <c r="K62" s="6" t="s">
        <v>42</v>
      </c>
      <c r="L62" s="6" t="s">
        <v>172</v>
      </c>
      <c r="M62" s="7">
        <v>46094</v>
      </c>
      <c r="N62" s="8">
        <v>0</v>
      </c>
      <c r="O62" s="9">
        <v>96</v>
      </c>
      <c r="P62" s="8">
        <v>0</v>
      </c>
      <c r="Q62" s="6" t="s">
        <v>94</v>
      </c>
      <c r="R62" s="6" t="s">
        <v>45</v>
      </c>
      <c r="S62" s="6" t="s">
        <v>254</v>
      </c>
      <c r="T62" s="6" t="s">
        <v>45</v>
      </c>
      <c r="U62" s="10">
        <v>1</v>
      </c>
      <c r="V62" s="6" t="s">
        <v>45</v>
      </c>
      <c r="W62" s="10">
        <v>0</v>
      </c>
      <c r="X62" s="6" t="s">
        <v>45</v>
      </c>
      <c r="Y62" s="6" t="s">
        <v>46</v>
      </c>
      <c r="Z62" s="6" t="s">
        <v>45</v>
      </c>
      <c r="AA62" s="10" t="b">
        <v>0</v>
      </c>
      <c r="AB62" s="10" t="b">
        <v>0</v>
      </c>
      <c r="AC62" s="10" t="b">
        <v>1</v>
      </c>
      <c r="AD62" s="7"/>
      <c r="AE62" s="8">
        <v>0</v>
      </c>
      <c r="AF62" s="6" t="s">
        <v>45</v>
      </c>
      <c r="AG62" s="8">
        <v>0</v>
      </c>
      <c r="AH62" s="11"/>
      <c r="AI62" s="12">
        <v>0</v>
      </c>
    </row>
    <row r="63" spans="1:35" x14ac:dyDescent="0.35">
      <c r="A63" s="5" t="s">
        <v>255</v>
      </c>
      <c r="B63" s="6" t="s">
        <v>45</v>
      </c>
      <c r="C63" s="6" t="s">
        <v>193</v>
      </c>
      <c r="D63" s="6" t="s">
        <v>67</v>
      </c>
      <c r="E63" s="42" t="s">
        <v>1033</v>
      </c>
      <c r="F63" s="42" t="s">
        <v>1997</v>
      </c>
      <c r="G63" s="42" t="s">
        <v>1996</v>
      </c>
      <c r="H63" s="6" t="s">
        <v>45</v>
      </c>
      <c r="I63" s="6" t="s">
        <v>45</v>
      </c>
      <c r="J63" s="6" t="s">
        <v>194</v>
      </c>
      <c r="K63" s="6" t="s">
        <v>42</v>
      </c>
      <c r="L63" s="6" t="s">
        <v>52</v>
      </c>
      <c r="M63" s="7">
        <v>46095</v>
      </c>
      <c r="N63" s="8">
        <v>69481</v>
      </c>
      <c r="O63" s="9">
        <v>95</v>
      </c>
      <c r="P63" s="8">
        <v>1475</v>
      </c>
      <c r="Q63" s="6" t="s">
        <v>126</v>
      </c>
      <c r="R63" s="6" t="s">
        <v>45</v>
      </c>
      <c r="S63" s="6" t="s">
        <v>45</v>
      </c>
      <c r="T63" s="6" t="s">
        <v>45</v>
      </c>
      <c r="U63" s="10">
        <v>1</v>
      </c>
      <c r="V63" s="6" t="s">
        <v>45</v>
      </c>
      <c r="W63" s="10">
        <v>0</v>
      </c>
      <c r="X63" s="6" t="s">
        <v>45</v>
      </c>
      <c r="Y63" s="6" t="s">
        <v>46</v>
      </c>
      <c r="Z63" s="6" t="s">
        <v>45</v>
      </c>
      <c r="AA63" s="10" t="b">
        <v>0</v>
      </c>
      <c r="AB63" s="10" t="b">
        <v>0</v>
      </c>
      <c r="AC63" s="10" t="b">
        <v>0</v>
      </c>
      <c r="AD63" s="7">
        <v>44562</v>
      </c>
      <c r="AE63" s="8">
        <v>45481</v>
      </c>
      <c r="AF63" s="6" t="s">
        <v>256</v>
      </c>
      <c r="AG63" s="8">
        <v>25475</v>
      </c>
      <c r="AH63" s="11"/>
      <c r="AI63" s="12">
        <v>0</v>
      </c>
    </row>
    <row r="64" spans="1:35" x14ac:dyDescent="0.35">
      <c r="A64" s="5" t="s">
        <v>257</v>
      </c>
      <c r="B64" s="6" t="s">
        <v>45</v>
      </c>
      <c r="C64" s="6" t="s">
        <v>258</v>
      </c>
      <c r="D64" s="6" t="s">
        <v>244</v>
      </c>
      <c r="E64" s="42" t="s">
        <v>2036</v>
      </c>
      <c r="F64" s="42" t="s">
        <v>2019</v>
      </c>
      <c r="G64" s="42" t="s">
        <v>2010</v>
      </c>
      <c r="H64" s="6" t="s">
        <v>45</v>
      </c>
      <c r="I64" s="6" t="s">
        <v>45</v>
      </c>
      <c r="J64" s="6" t="s">
        <v>41</v>
      </c>
      <c r="K64" s="6" t="s">
        <v>42</v>
      </c>
      <c r="L64" s="6" t="s">
        <v>52</v>
      </c>
      <c r="M64" s="7">
        <v>46108</v>
      </c>
      <c r="N64" s="8">
        <v>0</v>
      </c>
      <c r="O64" s="9">
        <v>82</v>
      </c>
      <c r="P64" s="8">
        <v>0</v>
      </c>
      <c r="Q64" s="6" t="s">
        <v>44</v>
      </c>
      <c r="R64" s="6" t="s">
        <v>45</v>
      </c>
      <c r="S64" s="6" t="s">
        <v>45</v>
      </c>
      <c r="T64" s="6" t="s">
        <v>45</v>
      </c>
      <c r="U64" s="10">
        <v>1</v>
      </c>
      <c r="V64" s="6" t="s">
        <v>45</v>
      </c>
      <c r="W64" s="10">
        <v>0</v>
      </c>
      <c r="X64" s="6" t="s">
        <v>45</v>
      </c>
      <c r="Y64" s="6" t="s">
        <v>46</v>
      </c>
      <c r="Z64" s="6" t="s">
        <v>45</v>
      </c>
      <c r="AA64" s="10" t="b">
        <v>0</v>
      </c>
      <c r="AB64" s="10" t="b">
        <v>0</v>
      </c>
      <c r="AC64" s="10" t="b">
        <v>0</v>
      </c>
      <c r="AD64" s="7">
        <v>45743</v>
      </c>
      <c r="AE64" s="8">
        <v>0</v>
      </c>
      <c r="AF64" s="6" t="s">
        <v>259</v>
      </c>
      <c r="AG64" s="8">
        <v>0</v>
      </c>
      <c r="AH64" s="11"/>
      <c r="AI64" s="12">
        <v>0</v>
      </c>
    </row>
    <row r="65" spans="1:35" x14ac:dyDescent="0.35">
      <c r="A65" s="5" t="s">
        <v>260</v>
      </c>
      <c r="B65" s="6" t="s">
        <v>45</v>
      </c>
      <c r="C65" s="6" t="s">
        <v>261</v>
      </c>
      <c r="D65" s="6" t="s">
        <v>244</v>
      </c>
      <c r="E65" s="42" t="s">
        <v>2036</v>
      </c>
      <c r="F65" s="42" t="s">
        <v>2019</v>
      </c>
      <c r="G65" s="42" t="s">
        <v>2010</v>
      </c>
      <c r="H65" s="6" t="s">
        <v>45</v>
      </c>
      <c r="I65" s="6" t="s">
        <v>45</v>
      </c>
      <c r="J65" s="6" t="s">
        <v>41</v>
      </c>
      <c r="K65" s="6" t="s">
        <v>42</v>
      </c>
      <c r="L65" s="6" t="s">
        <v>52</v>
      </c>
      <c r="M65" s="7">
        <v>46108</v>
      </c>
      <c r="N65" s="8">
        <v>0</v>
      </c>
      <c r="O65" s="9">
        <v>82</v>
      </c>
      <c r="P65" s="8">
        <v>0</v>
      </c>
      <c r="Q65" s="6" t="s">
        <v>44</v>
      </c>
      <c r="R65" s="6" t="s">
        <v>45</v>
      </c>
      <c r="S65" s="6" t="s">
        <v>45</v>
      </c>
      <c r="T65" s="6" t="s">
        <v>45</v>
      </c>
      <c r="U65" s="10">
        <v>1</v>
      </c>
      <c r="V65" s="6" t="s">
        <v>45</v>
      </c>
      <c r="W65" s="10">
        <v>0</v>
      </c>
      <c r="X65" s="6" t="s">
        <v>45</v>
      </c>
      <c r="Y65" s="6" t="s">
        <v>46</v>
      </c>
      <c r="Z65" s="6" t="s">
        <v>45</v>
      </c>
      <c r="AA65" s="10" t="b">
        <v>0</v>
      </c>
      <c r="AB65" s="10" t="b">
        <v>0</v>
      </c>
      <c r="AC65" s="10" t="b">
        <v>0</v>
      </c>
      <c r="AD65" s="7">
        <v>45743</v>
      </c>
      <c r="AE65" s="8">
        <v>0</v>
      </c>
      <c r="AF65" s="6" t="s">
        <v>259</v>
      </c>
      <c r="AG65" s="8">
        <v>0</v>
      </c>
      <c r="AH65" s="11"/>
      <c r="AI65" s="12">
        <v>0</v>
      </c>
    </row>
    <row r="66" spans="1:35" x14ac:dyDescent="0.35">
      <c r="A66" s="5" t="s">
        <v>262</v>
      </c>
      <c r="B66" s="6" t="s">
        <v>45</v>
      </c>
      <c r="C66" s="6" t="s">
        <v>263</v>
      </c>
      <c r="D66" s="6" t="s">
        <v>244</v>
      </c>
      <c r="E66" s="42" t="s">
        <v>2036</v>
      </c>
      <c r="F66" s="42" t="s">
        <v>2019</v>
      </c>
      <c r="G66" s="42" t="s">
        <v>2010</v>
      </c>
      <c r="H66" s="6" t="s">
        <v>45</v>
      </c>
      <c r="I66" s="6" t="s">
        <v>45</v>
      </c>
      <c r="J66" s="6" t="s">
        <v>41</v>
      </c>
      <c r="K66" s="6" t="s">
        <v>42</v>
      </c>
      <c r="L66" s="6" t="s">
        <v>52</v>
      </c>
      <c r="M66" s="7">
        <v>46108</v>
      </c>
      <c r="N66" s="8">
        <v>0</v>
      </c>
      <c r="O66" s="9">
        <v>82</v>
      </c>
      <c r="P66" s="8">
        <v>0</v>
      </c>
      <c r="Q66" s="6" t="s">
        <v>44</v>
      </c>
      <c r="R66" s="6" t="s">
        <v>45</v>
      </c>
      <c r="S66" s="6" t="s">
        <v>45</v>
      </c>
      <c r="T66" s="6" t="s">
        <v>45</v>
      </c>
      <c r="U66" s="10">
        <v>1</v>
      </c>
      <c r="V66" s="6" t="s">
        <v>45</v>
      </c>
      <c r="W66" s="10">
        <v>0</v>
      </c>
      <c r="X66" s="6" t="s">
        <v>45</v>
      </c>
      <c r="Y66" s="6" t="s">
        <v>46</v>
      </c>
      <c r="Z66" s="6" t="s">
        <v>45</v>
      </c>
      <c r="AA66" s="10" t="b">
        <v>0</v>
      </c>
      <c r="AB66" s="10" t="b">
        <v>0</v>
      </c>
      <c r="AC66" s="10" t="b">
        <v>0</v>
      </c>
      <c r="AD66" s="7">
        <v>45743</v>
      </c>
      <c r="AE66" s="8">
        <v>0</v>
      </c>
      <c r="AF66" s="6" t="s">
        <v>259</v>
      </c>
      <c r="AG66" s="8">
        <v>0</v>
      </c>
      <c r="AH66" s="11"/>
      <c r="AI66" s="12">
        <v>0</v>
      </c>
    </row>
    <row r="67" spans="1:35" x14ac:dyDescent="0.35">
      <c r="A67" s="5" t="s">
        <v>264</v>
      </c>
      <c r="B67" s="6" t="s">
        <v>45</v>
      </c>
      <c r="C67" s="6" t="s">
        <v>189</v>
      </c>
      <c r="D67" s="6" t="s">
        <v>265</v>
      </c>
      <c r="E67" s="42" t="s">
        <v>817</v>
      </c>
      <c r="F67" s="42" t="s">
        <v>2007</v>
      </c>
      <c r="G67" s="42" t="s">
        <v>2006</v>
      </c>
      <c r="H67" s="6" t="s">
        <v>45</v>
      </c>
      <c r="I67" s="6" t="s">
        <v>45</v>
      </c>
      <c r="J67" s="6" t="s">
        <v>266</v>
      </c>
      <c r="K67" s="6" t="s">
        <v>42</v>
      </c>
      <c r="L67" s="6" t="s">
        <v>52</v>
      </c>
      <c r="M67" s="7">
        <v>46108</v>
      </c>
      <c r="N67" s="8">
        <v>9390</v>
      </c>
      <c r="O67" s="9">
        <v>81</v>
      </c>
      <c r="P67" s="8">
        <v>583</v>
      </c>
      <c r="Q67" s="6" t="s">
        <v>109</v>
      </c>
      <c r="R67" s="6" t="s">
        <v>45</v>
      </c>
      <c r="S67" s="6" t="s">
        <v>45</v>
      </c>
      <c r="T67" s="6" t="s">
        <v>45</v>
      </c>
      <c r="U67" s="10">
        <v>1</v>
      </c>
      <c r="V67" s="6" t="s">
        <v>45</v>
      </c>
      <c r="W67" s="10">
        <v>0</v>
      </c>
      <c r="X67" s="6" t="s">
        <v>45</v>
      </c>
      <c r="Y67" s="6" t="s">
        <v>46</v>
      </c>
      <c r="Z67" s="6" t="s">
        <v>45</v>
      </c>
      <c r="AA67" s="10" t="b">
        <v>0</v>
      </c>
      <c r="AB67" s="10" t="b">
        <v>0</v>
      </c>
      <c r="AC67" s="10" t="b">
        <v>0</v>
      </c>
      <c r="AD67" s="7">
        <v>45500</v>
      </c>
      <c r="AE67" s="8">
        <v>4590</v>
      </c>
      <c r="AF67" s="6" t="s">
        <v>267</v>
      </c>
      <c r="AG67" s="8">
        <v>5383</v>
      </c>
      <c r="AH67" s="11"/>
      <c r="AI67" s="12">
        <v>0</v>
      </c>
    </row>
    <row r="68" spans="1:35" x14ac:dyDescent="0.35">
      <c r="A68" s="5" t="s">
        <v>268</v>
      </c>
      <c r="B68" s="6" t="s">
        <v>45</v>
      </c>
      <c r="C68" s="6" t="s">
        <v>269</v>
      </c>
      <c r="D68" s="6" t="s">
        <v>244</v>
      </c>
      <c r="E68" s="42" t="s">
        <v>2036</v>
      </c>
      <c r="F68" s="42" t="s">
        <v>2019</v>
      </c>
      <c r="G68" s="42" t="s">
        <v>2010</v>
      </c>
      <c r="H68" s="6" t="s">
        <v>45</v>
      </c>
      <c r="I68" s="6" t="s">
        <v>45</v>
      </c>
      <c r="J68" s="6" t="s">
        <v>41</v>
      </c>
      <c r="K68" s="6" t="s">
        <v>42</v>
      </c>
      <c r="L68" s="6" t="s">
        <v>52</v>
      </c>
      <c r="M68" s="7">
        <v>46111</v>
      </c>
      <c r="N68" s="8">
        <v>0</v>
      </c>
      <c r="O68" s="9">
        <v>79</v>
      </c>
      <c r="P68" s="8">
        <v>0</v>
      </c>
      <c r="Q68" s="6" t="s">
        <v>44</v>
      </c>
      <c r="R68" s="6" t="s">
        <v>45</v>
      </c>
      <c r="S68" s="6" t="s">
        <v>45</v>
      </c>
      <c r="T68" s="6" t="s">
        <v>45</v>
      </c>
      <c r="U68" s="10">
        <v>1</v>
      </c>
      <c r="V68" s="6" t="s">
        <v>45</v>
      </c>
      <c r="W68" s="10">
        <v>0</v>
      </c>
      <c r="X68" s="6" t="s">
        <v>45</v>
      </c>
      <c r="Y68" s="6" t="s">
        <v>46</v>
      </c>
      <c r="Z68" s="6" t="s">
        <v>45</v>
      </c>
      <c r="AA68" s="10" t="b">
        <v>0</v>
      </c>
      <c r="AB68" s="10" t="b">
        <v>0</v>
      </c>
      <c r="AC68" s="10" t="b">
        <v>0</v>
      </c>
      <c r="AD68" s="7">
        <v>45746</v>
      </c>
      <c r="AE68" s="8">
        <v>0</v>
      </c>
      <c r="AF68" s="6" t="s">
        <v>270</v>
      </c>
      <c r="AG68" s="8">
        <v>0</v>
      </c>
      <c r="AH68" s="11"/>
      <c r="AI68" s="12">
        <v>0</v>
      </c>
    </row>
    <row r="69" spans="1:35" x14ac:dyDescent="0.35">
      <c r="A69" s="5" t="s">
        <v>271</v>
      </c>
      <c r="B69" s="6" t="s">
        <v>45</v>
      </c>
      <c r="C69" s="6" t="s">
        <v>272</v>
      </c>
      <c r="D69" s="6" t="s">
        <v>273</v>
      </c>
      <c r="E69" s="42" t="s">
        <v>2038</v>
      </c>
      <c r="F69" s="42" t="s">
        <v>2009</v>
      </c>
      <c r="G69" s="42" t="s">
        <v>2010</v>
      </c>
      <c r="H69" s="6" t="s">
        <v>274</v>
      </c>
      <c r="I69" s="6" t="s">
        <v>275</v>
      </c>
      <c r="J69" s="6" t="s">
        <v>41</v>
      </c>
      <c r="K69" s="6" t="s">
        <v>42</v>
      </c>
      <c r="L69" s="6" t="s">
        <v>172</v>
      </c>
      <c r="M69" s="7">
        <v>46115</v>
      </c>
      <c r="N69" s="8">
        <v>0</v>
      </c>
      <c r="O69" s="9">
        <v>75</v>
      </c>
      <c r="P69" s="8">
        <v>0</v>
      </c>
      <c r="Q69" s="6" t="s">
        <v>276</v>
      </c>
      <c r="R69" s="6" t="s">
        <v>45</v>
      </c>
      <c r="S69" s="6" t="s">
        <v>45</v>
      </c>
      <c r="T69" s="6" t="s">
        <v>45</v>
      </c>
      <c r="U69" s="10">
        <v>1</v>
      </c>
      <c r="V69" s="6" t="s">
        <v>45</v>
      </c>
      <c r="W69" s="10">
        <v>0</v>
      </c>
      <c r="X69" s="6" t="s">
        <v>45</v>
      </c>
      <c r="Y69" s="6" t="s">
        <v>46</v>
      </c>
      <c r="Z69" s="6" t="s">
        <v>45</v>
      </c>
      <c r="AA69" s="10" t="b">
        <v>0</v>
      </c>
      <c r="AB69" s="10" t="b">
        <v>0</v>
      </c>
      <c r="AC69" s="10" t="b">
        <v>1</v>
      </c>
      <c r="AD69" s="7">
        <v>45750</v>
      </c>
      <c r="AE69" s="8">
        <v>0</v>
      </c>
      <c r="AF69" s="6" t="s">
        <v>277</v>
      </c>
      <c r="AG69" s="8">
        <v>0</v>
      </c>
      <c r="AH69" s="11"/>
      <c r="AI69" s="12">
        <v>0</v>
      </c>
    </row>
    <row r="70" spans="1:35" x14ac:dyDescent="0.35">
      <c r="A70" s="5" t="s">
        <v>278</v>
      </c>
      <c r="B70" s="6" t="s">
        <v>45</v>
      </c>
      <c r="C70" s="6" t="s">
        <v>279</v>
      </c>
      <c r="D70" s="6" t="s">
        <v>280</v>
      </c>
      <c r="E70" s="42" t="s">
        <v>2031</v>
      </c>
      <c r="F70" s="42" t="s">
        <v>2005</v>
      </c>
      <c r="G70" s="42" t="s">
        <v>2006</v>
      </c>
      <c r="H70" s="6" t="s">
        <v>281</v>
      </c>
      <c r="I70" s="6" t="s">
        <v>282</v>
      </c>
      <c r="J70" s="6" t="s">
        <v>283</v>
      </c>
      <c r="K70" s="6" t="s">
        <v>42</v>
      </c>
      <c r="L70" s="6" t="s">
        <v>52</v>
      </c>
      <c r="M70" s="7">
        <v>46116</v>
      </c>
      <c r="N70" s="8">
        <v>0</v>
      </c>
      <c r="O70" s="9">
        <v>73</v>
      </c>
      <c r="P70" s="8">
        <v>0</v>
      </c>
      <c r="Q70" s="6" t="s">
        <v>58</v>
      </c>
      <c r="R70" s="6" t="s">
        <v>45</v>
      </c>
      <c r="S70" s="6" t="s">
        <v>45</v>
      </c>
      <c r="T70" s="6" t="s">
        <v>45</v>
      </c>
      <c r="U70" s="10">
        <v>1</v>
      </c>
      <c r="V70" s="6" t="s">
        <v>45</v>
      </c>
      <c r="W70" s="10">
        <v>0</v>
      </c>
      <c r="X70" s="6" t="s">
        <v>45</v>
      </c>
      <c r="Y70" s="6" t="s">
        <v>46</v>
      </c>
      <c r="Z70" s="6" t="s">
        <v>45</v>
      </c>
      <c r="AA70" s="10" t="b">
        <v>0</v>
      </c>
      <c r="AB70" s="10" t="b">
        <v>0</v>
      </c>
      <c r="AC70" s="10" t="b">
        <v>0</v>
      </c>
      <c r="AD70" s="7">
        <v>46057</v>
      </c>
      <c r="AE70" s="8">
        <v>0</v>
      </c>
      <c r="AF70" s="6" t="s">
        <v>284</v>
      </c>
      <c r="AG70" s="8">
        <v>0</v>
      </c>
      <c r="AH70" s="11"/>
      <c r="AI70" s="12">
        <v>0</v>
      </c>
    </row>
    <row r="71" spans="1:35" x14ac:dyDescent="0.35">
      <c r="A71" s="5" t="s">
        <v>285</v>
      </c>
      <c r="B71" s="6" t="s">
        <v>45</v>
      </c>
      <c r="C71" s="6" t="s">
        <v>119</v>
      </c>
      <c r="D71" s="6" t="s">
        <v>286</v>
      </c>
      <c r="E71" s="42" t="s">
        <v>2056</v>
      </c>
      <c r="F71" s="42" t="s">
        <v>2034</v>
      </c>
      <c r="G71" s="42" t="s">
        <v>2010</v>
      </c>
      <c r="H71" s="6" t="s">
        <v>45</v>
      </c>
      <c r="I71" s="6" t="s">
        <v>45</v>
      </c>
      <c r="J71" s="6" t="s">
        <v>99</v>
      </c>
      <c r="K71" s="6" t="s">
        <v>42</v>
      </c>
      <c r="L71" s="6" t="s">
        <v>52</v>
      </c>
      <c r="M71" s="7">
        <v>46116</v>
      </c>
      <c r="N71" s="8">
        <v>0</v>
      </c>
      <c r="O71" s="9">
        <v>73</v>
      </c>
      <c r="P71" s="8">
        <v>0</v>
      </c>
      <c r="Q71" s="6" t="s">
        <v>64</v>
      </c>
      <c r="R71" s="6" t="s">
        <v>45</v>
      </c>
      <c r="S71" s="6" t="s">
        <v>100</v>
      </c>
      <c r="T71" s="6" t="s">
        <v>119</v>
      </c>
      <c r="U71" s="10">
        <v>1</v>
      </c>
      <c r="V71" s="6" t="s">
        <v>45</v>
      </c>
      <c r="W71" s="10">
        <v>0</v>
      </c>
      <c r="X71" s="6" t="s">
        <v>45</v>
      </c>
      <c r="Y71" s="6" t="s">
        <v>46</v>
      </c>
      <c r="Z71" s="6" t="s">
        <v>120</v>
      </c>
      <c r="AA71" s="10" t="b">
        <v>1</v>
      </c>
      <c r="AB71" s="10" t="b">
        <v>0</v>
      </c>
      <c r="AC71" s="10" t="b">
        <v>0</v>
      </c>
      <c r="AD71" s="7">
        <v>46173</v>
      </c>
      <c r="AE71" s="8">
        <v>0</v>
      </c>
      <c r="AF71" s="6" t="s">
        <v>287</v>
      </c>
      <c r="AG71" s="8">
        <v>0</v>
      </c>
      <c r="AH71" s="11"/>
      <c r="AI71" s="12">
        <v>0</v>
      </c>
    </row>
    <row r="72" spans="1:35" x14ac:dyDescent="0.35">
      <c r="A72" s="5" t="s">
        <v>288</v>
      </c>
      <c r="B72" s="6" t="s">
        <v>45</v>
      </c>
      <c r="C72" s="6" t="s">
        <v>289</v>
      </c>
      <c r="D72" s="6" t="s">
        <v>67</v>
      </c>
      <c r="E72" s="42" t="s">
        <v>1033</v>
      </c>
      <c r="F72" s="42" t="s">
        <v>1997</v>
      </c>
      <c r="G72" s="42" t="s">
        <v>1996</v>
      </c>
      <c r="H72" s="6" t="s">
        <v>290</v>
      </c>
      <c r="I72" s="6" t="s">
        <v>291</v>
      </c>
      <c r="J72" s="6" t="s">
        <v>41</v>
      </c>
      <c r="K72" s="6" t="s">
        <v>42</v>
      </c>
      <c r="L72" s="6" t="s">
        <v>172</v>
      </c>
      <c r="M72" s="7">
        <v>46117</v>
      </c>
      <c r="N72" s="8">
        <v>0</v>
      </c>
      <c r="O72" s="9">
        <v>72</v>
      </c>
      <c r="P72" s="8">
        <v>0</v>
      </c>
      <c r="Q72" s="6" t="s">
        <v>44</v>
      </c>
      <c r="R72" s="6" t="s">
        <v>45</v>
      </c>
      <c r="S72" s="6" t="s">
        <v>45</v>
      </c>
      <c r="T72" s="6" t="s">
        <v>45</v>
      </c>
      <c r="U72" s="10">
        <v>1</v>
      </c>
      <c r="V72" s="6" t="s">
        <v>45</v>
      </c>
      <c r="W72" s="10">
        <v>0</v>
      </c>
      <c r="X72" s="6" t="s">
        <v>45</v>
      </c>
      <c r="Y72" s="6" t="s">
        <v>46</v>
      </c>
      <c r="Z72" s="6" t="s">
        <v>45</v>
      </c>
      <c r="AA72" s="10" t="b">
        <v>0</v>
      </c>
      <c r="AB72" s="10" t="b">
        <v>0</v>
      </c>
      <c r="AC72" s="10" t="b">
        <v>1</v>
      </c>
      <c r="AD72" s="7">
        <v>45752</v>
      </c>
      <c r="AE72" s="8">
        <v>0</v>
      </c>
      <c r="AF72" s="6" t="s">
        <v>292</v>
      </c>
      <c r="AG72" s="8">
        <v>0</v>
      </c>
      <c r="AH72" s="11"/>
      <c r="AI72" s="12">
        <v>0</v>
      </c>
    </row>
    <row r="73" spans="1:35" x14ac:dyDescent="0.35">
      <c r="A73" s="5" t="s">
        <v>293</v>
      </c>
      <c r="B73" s="6" t="s">
        <v>45</v>
      </c>
      <c r="C73" s="6" t="s">
        <v>294</v>
      </c>
      <c r="D73" s="6" t="s">
        <v>38</v>
      </c>
      <c r="E73" s="42" t="s">
        <v>803</v>
      </c>
      <c r="F73" s="42" t="s">
        <v>2018</v>
      </c>
      <c r="G73" s="42" t="s">
        <v>2006</v>
      </c>
      <c r="H73" s="6" t="s">
        <v>45</v>
      </c>
      <c r="I73" s="6" t="s">
        <v>45</v>
      </c>
      <c r="J73" s="6" t="s">
        <v>114</v>
      </c>
      <c r="K73" s="6" t="s">
        <v>42</v>
      </c>
      <c r="L73" s="6" t="s">
        <v>52</v>
      </c>
      <c r="M73" s="7">
        <v>46117</v>
      </c>
      <c r="N73" s="8">
        <v>39200</v>
      </c>
      <c r="O73" s="9">
        <v>72</v>
      </c>
      <c r="P73" s="8">
        <v>736</v>
      </c>
      <c r="Q73" s="6" t="s">
        <v>126</v>
      </c>
      <c r="R73" s="6" t="s">
        <v>45</v>
      </c>
      <c r="S73" s="6" t="s">
        <v>45</v>
      </c>
      <c r="T73" s="6" t="s">
        <v>45</v>
      </c>
      <c r="U73" s="10">
        <v>1</v>
      </c>
      <c r="V73" s="6" t="s">
        <v>45</v>
      </c>
      <c r="W73" s="10">
        <v>0</v>
      </c>
      <c r="X73" s="6" t="s">
        <v>45</v>
      </c>
      <c r="Y73" s="6" t="s">
        <v>46</v>
      </c>
      <c r="Z73" s="6" t="s">
        <v>45</v>
      </c>
      <c r="AA73" s="10" t="b">
        <v>0</v>
      </c>
      <c r="AB73" s="10" t="b">
        <v>0</v>
      </c>
      <c r="AC73" s="10" t="b">
        <v>0</v>
      </c>
      <c r="AD73" s="7">
        <v>45641</v>
      </c>
      <c r="AE73" s="8">
        <v>31200</v>
      </c>
      <c r="AF73" s="6" t="s">
        <v>295</v>
      </c>
      <c r="AG73" s="8">
        <v>8736</v>
      </c>
      <c r="AH73" s="11"/>
      <c r="AI73" s="12">
        <v>0</v>
      </c>
    </row>
    <row r="74" spans="1:35" x14ac:dyDescent="0.35">
      <c r="A74" s="5" t="s">
        <v>296</v>
      </c>
      <c r="B74" s="6" t="s">
        <v>45</v>
      </c>
      <c r="C74" s="6" t="s">
        <v>152</v>
      </c>
      <c r="D74" s="6" t="s">
        <v>158</v>
      </c>
      <c r="E74" s="42" t="s">
        <v>2026</v>
      </c>
      <c r="F74" s="42" t="s">
        <v>1995</v>
      </c>
      <c r="G74" s="42" t="s">
        <v>1996</v>
      </c>
      <c r="H74" s="6" t="s">
        <v>297</v>
      </c>
      <c r="I74" s="6" t="s">
        <v>298</v>
      </c>
      <c r="J74" s="6" t="s">
        <v>142</v>
      </c>
      <c r="K74" s="6" t="s">
        <v>42</v>
      </c>
      <c r="L74" s="6" t="s">
        <v>52</v>
      </c>
      <c r="M74" s="7">
        <v>46121</v>
      </c>
      <c r="N74" s="8">
        <v>80487</v>
      </c>
      <c r="O74" s="9">
        <v>68</v>
      </c>
      <c r="P74" s="8">
        <v>1062</v>
      </c>
      <c r="Q74" s="6" t="s">
        <v>126</v>
      </c>
      <c r="R74" s="6" t="s">
        <v>45</v>
      </c>
      <c r="S74" s="6" t="s">
        <v>45</v>
      </c>
      <c r="T74" s="6" t="s">
        <v>45</v>
      </c>
      <c r="U74" s="10">
        <v>1</v>
      </c>
      <c r="V74" s="6" t="s">
        <v>45</v>
      </c>
      <c r="W74" s="10">
        <v>0</v>
      </c>
      <c r="X74" s="6" t="s">
        <v>45</v>
      </c>
      <c r="Y74" s="6" t="s">
        <v>46</v>
      </c>
      <c r="Z74" s="6" t="s">
        <v>45</v>
      </c>
      <c r="AA74" s="10" t="b">
        <v>0</v>
      </c>
      <c r="AB74" s="10" t="b">
        <v>0</v>
      </c>
      <c r="AC74" s="10" t="b">
        <v>0</v>
      </c>
      <c r="AD74" s="7"/>
      <c r="AE74" s="8">
        <v>0</v>
      </c>
      <c r="AF74" s="6" t="s">
        <v>45</v>
      </c>
      <c r="AG74" s="8">
        <v>0</v>
      </c>
      <c r="AH74" s="11"/>
      <c r="AI74" s="12">
        <v>0</v>
      </c>
    </row>
    <row r="75" spans="1:35" x14ac:dyDescent="0.35">
      <c r="A75" s="5" t="s">
        <v>299</v>
      </c>
      <c r="B75" s="6" t="s">
        <v>45</v>
      </c>
      <c r="C75" s="6" t="s">
        <v>239</v>
      </c>
      <c r="D75" s="6" t="s">
        <v>158</v>
      </c>
      <c r="E75" s="42" t="s">
        <v>2026</v>
      </c>
      <c r="F75" s="42" t="s">
        <v>1995</v>
      </c>
      <c r="G75" s="42" t="s">
        <v>1996</v>
      </c>
      <c r="H75" s="6" t="s">
        <v>300</v>
      </c>
      <c r="I75" s="6" t="s">
        <v>301</v>
      </c>
      <c r="J75" s="6" t="s">
        <v>41</v>
      </c>
      <c r="K75" s="6" t="s">
        <v>42</v>
      </c>
      <c r="L75" s="6" t="s">
        <v>52</v>
      </c>
      <c r="M75" s="7">
        <v>46124</v>
      </c>
      <c r="N75" s="8">
        <v>0</v>
      </c>
      <c r="O75" s="9">
        <v>65</v>
      </c>
      <c r="P75" s="8">
        <v>0</v>
      </c>
      <c r="Q75" s="6" t="s">
        <v>44</v>
      </c>
      <c r="R75" s="6" t="s">
        <v>45</v>
      </c>
      <c r="S75" s="6" t="s">
        <v>45</v>
      </c>
      <c r="T75" s="6" t="s">
        <v>45</v>
      </c>
      <c r="U75" s="10">
        <v>1</v>
      </c>
      <c r="V75" s="6" t="s">
        <v>45</v>
      </c>
      <c r="W75" s="10">
        <v>0</v>
      </c>
      <c r="X75" s="6" t="s">
        <v>45</v>
      </c>
      <c r="Y75" s="6" t="s">
        <v>46</v>
      </c>
      <c r="Z75" s="6" t="s">
        <v>45</v>
      </c>
      <c r="AA75" s="10" t="b">
        <v>0</v>
      </c>
      <c r="AB75" s="10" t="b">
        <v>0</v>
      </c>
      <c r="AC75" s="10" t="b">
        <v>1</v>
      </c>
      <c r="AD75" s="7">
        <v>45759</v>
      </c>
      <c r="AE75" s="8">
        <v>0</v>
      </c>
      <c r="AF75" s="6" t="s">
        <v>302</v>
      </c>
      <c r="AG75" s="8">
        <v>0</v>
      </c>
      <c r="AH75" s="11"/>
      <c r="AI75" s="12">
        <v>0</v>
      </c>
    </row>
    <row r="76" spans="1:35" x14ac:dyDescent="0.35">
      <c r="A76" s="5" t="s">
        <v>303</v>
      </c>
      <c r="B76" s="6" t="s">
        <v>45</v>
      </c>
      <c r="C76" s="6" t="s">
        <v>304</v>
      </c>
      <c r="D76" s="6" t="s">
        <v>38</v>
      </c>
      <c r="E76" s="42" t="s">
        <v>803</v>
      </c>
      <c r="F76" s="42" t="s">
        <v>2018</v>
      </c>
      <c r="G76" s="42" t="s">
        <v>2006</v>
      </c>
      <c r="H76" s="6" t="s">
        <v>305</v>
      </c>
      <c r="I76" s="6" t="s">
        <v>306</v>
      </c>
      <c r="J76" s="6" t="s">
        <v>307</v>
      </c>
      <c r="K76" s="6" t="s">
        <v>42</v>
      </c>
      <c r="L76" s="6" t="s">
        <v>43</v>
      </c>
      <c r="M76" s="7">
        <v>46127</v>
      </c>
      <c r="N76" s="8">
        <v>20200</v>
      </c>
      <c r="O76" s="9">
        <v>62</v>
      </c>
      <c r="P76" s="8">
        <v>380</v>
      </c>
      <c r="Q76" s="6" t="s">
        <v>76</v>
      </c>
      <c r="R76" s="6" t="s">
        <v>45</v>
      </c>
      <c r="S76" s="6" t="s">
        <v>45</v>
      </c>
      <c r="T76" s="6" t="s">
        <v>45</v>
      </c>
      <c r="U76" s="10">
        <v>1</v>
      </c>
      <c r="V76" s="6" t="s">
        <v>45</v>
      </c>
      <c r="W76" s="10">
        <v>0</v>
      </c>
      <c r="X76" s="6" t="s">
        <v>45</v>
      </c>
      <c r="Y76" s="6" t="s">
        <v>46</v>
      </c>
      <c r="Z76" s="6" t="s">
        <v>45</v>
      </c>
      <c r="AA76" s="10" t="b">
        <v>0</v>
      </c>
      <c r="AB76" s="10" t="b">
        <v>0</v>
      </c>
      <c r="AC76" s="10" t="b">
        <v>0</v>
      </c>
      <c r="AD76" s="7"/>
      <c r="AE76" s="8">
        <v>0</v>
      </c>
      <c r="AF76" s="6" t="s">
        <v>45</v>
      </c>
      <c r="AG76" s="8">
        <v>0</v>
      </c>
      <c r="AH76" s="11"/>
      <c r="AI76" s="12">
        <v>0</v>
      </c>
    </row>
    <row r="77" spans="1:35" x14ac:dyDescent="0.35">
      <c r="A77" s="5" t="s">
        <v>308</v>
      </c>
      <c r="B77" s="6" t="s">
        <v>45</v>
      </c>
      <c r="C77" s="6" t="s">
        <v>309</v>
      </c>
      <c r="D77" s="6" t="s">
        <v>250</v>
      </c>
      <c r="E77" s="42" t="s">
        <v>1989</v>
      </c>
      <c r="F77" s="42" t="s">
        <v>2016</v>
      </c>
      <c r="G77" s="42" t="s">
        <v>2014</v>
      </c>
      <c r="H77" s="6" t="s">
        <v>45</v>
      </c>
      <c r="I77" s="6" t="s">
        <v>45</v>
      </c>
      <c r="J77" s="6" t="s">
        <v>310</v>
      </c>
      <c r="K77" s="6" t="s">
        <v>42</v>
      </c>
      <c r="L77" s="6" t="s">
        <v>52</v>
      </c>
      <c r="M77" s="7">
        <v>46128</v>
      </c>
      <c r="N77" s="8">
        <v>3000</v>
      </c>
      <c r="O77" s="9">
        <v>62</v>
      </c>
      <c r="P77" s="8">
        <v>127</v>
      </c>
      <c r="Q77" s="6" t="s">
        <v>109</v>
      </c>
      <c r="R77" s="6" t="s">
        <v>45</v>
      </c>
      <c r="S77" s="6" t="s">
        <v>45</v>
      </c>
      <c r="T77" s="6" t="s">
        <v>45</v>
      </c>
      <c r="U77" s="10">
        <v>1</v>
      </c>
      <c r="V77" s="6" t="s">
        <v>45</v>
      </c>
      <c r="W77" s="10">
        <v>0</v>
      </c>
      <c r="X77" s="6" t="s">
        <v>45</v>
      </c>
      <c r="Y77" s="6" t="s">
        <v>46</v>
      </c>
      <c r="Z77" s="6" t="s">
        <v>45</v>
      </c>
      <c r="AA77" s="10" t="b">
        <v>0</v>
      </c>
      <c r="AB77" s="10" t="b">
        <v>0</v>
      </c>
      <c r="AC77" s="10" t="b">
        <v>0</v>
      </c>
      <c r="AD77" s="7"/>
      <c r="AE77" s="8">
        <v>0</v>
      </c>
      <c r="AF77" s="6" t="s">
        <v>45</v>
      </c>
      <c r="AG77" s="8">
        <v>0</v>
      </c>
      <c r="AH77" s="11"/>
      <c r="AI77" s="12">
        <v>0</v>
      </c>
    </row>
    <row r="78" spans="1:35" x14ac:dyDescent="0.35">
      <c r="A78" s="5" t="s">
        <v>311</v>
      </c>
      <c r="B78" s="6" t="s">
        <v>45</v>
      </c>
      <c r="C78" s="6" t="s">
        <v>312</v>
      </c>
      <c r="D78" s="6" t="s">
        <v>38</v>
      </c>
      <c r="E78" s="42" t="s">
        <v>803</v>
      </c>
      <c r="F78" s="42" t="s">
        <v>2018</v>
      </c>
      <c r="G78" s="42" t="s">
        <v>2006</v>
      </c>
      <c r="H78" s="6" t="s">
        <v>45</v>
      </c>
      <c r="I78" s="6" t="s">
        <v>45</v>
      </c>
      <c r="J78" s="6" t="s">
        <v>41</v>
      </c>
      <c r="K78" s="6" t="s">
        <v>42</v>
      </c>
      <c r="L78" s="6" t="s">
        <v>52</v>
      </c>
      <c r="M78" s="7">
        <v>46128</v>
      </c>
      <c r="N78" s="8">
        <v>0</v>
      </c>
      <c r="O78" s="9">
        <v>61</v>
      </c>
      <c r="P78" s="8">
        <v>0</v>
      </c>
      <c r="Q78" s="6" t="s">
        <v>44</v>
      </c>
      <c r="R78" s="6" t="s">
        <v>45</v>
      </c>
      <c r="S78" s="6" t="s">
        <v>45</v>
      </c>
      <c r="T78" s="6" t="s">
        <v>45</v>
      </c>
      <c r="U78" s="10">
        <v>1</v>
      </c>
      <c r="V78" s="6" t="s">
        <v>45</v>
      </c>
      <c r="W78" s="10">
        <v>0</v>
      </c>
      <c r="X78" s="6" t="s">
        <v>45</v>
      </c>
      <c r="Y78" s="6" t="s">
        <v>46</v>
      </c>
      <c r="Z78" s="6" t="s">
        <v>45</v>
      </c>
      <c r="AA78" s="10" t="b">
        <v>0</v>
      </c>
      <c r="AB78" s="10" t="b">
        <v>0</v>
      </c>
      <c r="AC78" s="10" t="b">
        <v>0</v>
      </c>
      <c r="AD78" s="7">
        <v>45763</v>
      </c>
      <c r="AE78" s="8">
        <v>0</v>
      </c>
      <c r="AF78" s="6" t="s">
        <v>313</v>
      </c>
      <c r="AG78" s="8">
        <v>0</v>
      </c>
      <c r="AH78" s="11"/>
      <c r="AI78" s="12">
        <v>0</v>
      </c>
    </row>
    <row r="79" spans="1:35" x14ac:dyDescent="0.35">
      <c r="A79" s="5" t="s">
        <v>314</v>
      </c>
      <c r="B79" s="6" t="s">
        <v>45</v>
      </c>
      <c r="C79" s="6" t="s">
        <v>315</v>
      </c>
      <c r="D79" s="6" t="s">
        <v>38</v>
      </c>
      <c r="E79" s="42" t="s">
        <v>803</v>
      </c>
      <c r="F79" s="42" t="s">
        <v>2018</v>
      </c>
      <c r="G79" s="42" t="s">
        <v>2006</v>
      </c>
      <c r="H79" s="6" t="s">
        <v>45</v>
      </c>
      <c r="I79" s="6" t="s">
        <v>45</v>
      </c>
      <c r="J79" s="6" t="s">
        <v>316</v>
      </c>
      <c r="K79" s="6" t="s">
        <v>42</v>
      </c>
      <c r="L79" s="6" t="s">
        <v>52</v>
      </c>
      <c r="M79" s="7">
        <v>46130</v>
      </c>
      <c r="N79" s="8">
        <v>19690</v>
      </c>
      <c r="O79" s="9">
        <v>59</v>
      </c>
      <c r="P79" s="8">
        <v>265</v>
      </c>
      <c r="Q79" s="6" t="s">
        <v>94</v>
      </c>
      <c r="R79" s="6" t="s">
        <v>45</v>
      </c>
      <c r="S79" s="6" t="s">
        <v>45</v>
      </c>
      <c r="T79" s="6" t="s">
        <v>45</v>
      </c>
      <c r="U79" s="10">
        <v>1</v>
      </c>
      <c r="V79" s="6" t="s">
        <v>45</v>
      </c>
      <c r="W79" s="10">
        <v>0</v>
      </c>
      <c r="X79" s="6" t="s">
        <v>45</v>
      </c>
      <c r="Y79" s="6" t="s">
        <v>46</v>
      </c>
      <c r="Z79" s="6" t="s">
        <v>45</v>
      </c>
      <c r="AA79" s="10" t="b">
        <v>0</v>
      </c>
      <c r="AB79" s="10" t="b">
        <v>0</v>
      </c>
      <c r="AC79" s="10" t="b">
        <v>0</v>
      </c>
      <c r="AD79" s="7">
        <v>45875</v>
      </c>
      <c r="AE79" s="8">
        <v>17190</v>
      </c>
      <c r="AF79" s="6" t="s">
        <v>317</v>
      </c>
      <c r="AG79" s="8">
        <v>2765</v>
      </c>
      <c r="AH79" s="11"/>
      <c r="AI79" s="12">
        <v>0</v>
      </c>
    </row>
    <row r="80" spans="1:35" x14ac:dyDescent="0.35">
      <c r="A80" s="5" t="s">
        <v>318</v>
      </c>
      <c r="B80" s="6" t="s">
        <v>45</v>
      </c>
      <c r="C80" s="6" t="s">
        <v>319</v>
      </c>
      <c r="D80" s="6" t="s">
        <v>280</v>
      </c>
      <c r="E80" s="42" t="s">
        <v>2031</v>
      </c>
      <c r="F80" s="42" t="s">
        <v>2005</v>
      </c>
      <c r="G80" s="42" t="s">
        <v>2006</v>
      </c>
      <c r="H80" s="6" t="s">
        <v>320</v>
      </c>
      <c r="I80" s="6" t="s">
        <v>321</v>
      </c>
      <c r="J80" s="6" t="s">
        <v>99</v>
      </c>
      <c r="K80" s="6" t="s">
        <v>42</v>
      </c>
      <c r="L80" s="6" t="s">
        <v>52</v>
      </c>
      <c r="M80" s="7">
        <v>46130</v>
      </c>
      <c r="N80" s="8">
        <v>0</v>
      </c>
      <c r="O80" s="9">
        <v>59</v>
      </c>
      <c r="P80" s="8">
        <v>0</v>
      </c>
      <c r="Q80" s="6" t="s">
        <v>58</v>
      </c>
      <c r="R80" s="6" t="s">
        <v>45</v>
      </c>
      <c r="S80" s="6" t="s">
        <v>45</v>
      </c>
      <c r="T80" s="6" t="s">
        <v>45</v>
      </c>
      <c r="U80" s="10">
        <v>1</v>
      </c>
      <c r="V80" s="6" t="s">
        <v>45</v>
      </c>
      <c r="W80" s="10">
        <v>0</v>
      </c>
      <c r="X80" s="6" t="s">
        <v>45</v>
      </c>
      <c r="Y80" s="6" t="s">
        <v>46</v>
      </c>
      <c r="Z80" s="6" t="s">
        <v>45</v>
      </c>
      <c r="AA80" s="10" t="b">
        <v>0</v>
      </c>
      <c r="AB80" s="10" t="b">
        <v>0</v>
      </c>
      <c r="AC80" s="10" t="b">
        <v>0</v>
      </c>
      <c r="AD80" s="7">
        <v>46099</v>
      </c>
      <c r="AE80" s="8">
        <v>0</v>
      </c>
      <c r="AF80" s="6" t="s">
        <v>322</v>
      </c>
      <c r="AG80" s="8">
        <v>0</v>
      </c>
      <c r="AH80" s="11"/>
      <c r="AI80" s="12">
        <v>0</v>
      </c>
    </row>
    <row r="81" spans="1:35" x14ac:dyDescent="0.35">
      <c r="A81" s="5" t="s">
        <v>323</v>
      </c>
      <c r="B81" s="6" t="s">
        <v>45</v>
      </c>
      <c r="C81" s="6" t="s">
        <v>324</v>
      </c>
      <c r="D81" s="6" t="s">
        <v>280</v>
      </c>
      <c r="E81" s="42" t="s">
        <v>2031</v>
      </c>
      <c r="F81" s="42" t="s">
        <v>2005</v>
      </c>
      <c r="G81" s="42" t="s">
        <v>2006</v>
      </c>
      <c r="H81" s="6" t="s">
        <v>325</v>
      </c>
      <c r="I81" s="6" t="s">
        <v>326</v>
      </c>
      <c r="J81" s="6" t="s">
        <v>57</v>
      </c>
      <c r="K81" s="6" t="s">
        <v>42</v>
      </c>
      <c r="L81" s="6" t="s">
        <v>52</v>
      </c>
      <c r="M81" s="7">
        <v>46131</v>
      </c>
      <c r="N81" s="8">
        <v>0</v>
      </c>
      <c r="O81" s="9">
        <v>58</v>
      </c>
      <c r="P81" s="8">
        <v>0</v>
      </c>
      <c r="Q81" s="6" t="s">
        <v>58</v>
      </c>
      <c r="R81" s="6" t="s">
        <v>45</v>
      </c>
      <c r="S81" s="6" t="s">
        <v>45</v>
      </c>
      <c r="T81" s="6" t="s">
        <v>45</v>
      </c>
      <c r="U81" s="10">
        <v>1</v>
      </c>
      <c r="V81" s="6" t="s">
        <v>45</v>
      </c>
      <c r="W81" s="10">
        <v>0</v>
      </c>
      <c r="X81" s="6" t="s">
        <v>45</v>
      </c>
      <c r="Y81" s="6" t="s">
        <v>46</v>
      </c>
      <c r="Z81" s="6" t="s">
        <v>45</v>
      </c>
      <c r="AA81" s="10" t="b">
        <v>0</v>
      </c>
      <c r="AB81" s="10" t="b">
        <v>0</v>
      </c>
      <c r="AC81" s="10" t="b">
        <v>0</v>
      </c>
      <c r="AD81" s="7">
        <v>46041</v>
      </c>
      <c r="AE81" s="8">
        <v>0</v>
      </c>
      <c r="AF81" s="6" t="s">
        <v>327</v>
      </c>
      <c r="AG81" s="8">
        <v>0</v>
      </c>
      <c r="AH81" s="11"/>
      <c r="AI81" s="12">
        <v>0</v>
      </c>
    </row>
    <row r="82" spans="1:35" x14ac:dyDescent="0.35">
      <c r="A82" s="5" t="s">
        <v>328</v>
      </c>
      <c r="B82" s="6" t="s">
        <v>45</v>
      </c>
      <c r="C82" s="6" t="s">
        <v>193</v>
      </c>
      <c r="D82" s="6" t="s">
        <v>158</v>
      </c>
      <c r="E82" s="42" t="s">
        <v>2026</v>
      </c>
      <c r="F82" s="42" t="s">
        <v>1995</v>
      </c>
      <c r="G82" s="42" t="s">
        <v>1996</v>
      </c>
      <c r="H82" s="6" t="s">
        <v>329</v>
      </c>
      <c r="I82" s="6" t="s">
        <v>330</v>
      </c>
      <c r="J82" s="6" t="s">
        <v>213</v>
      </c>
      <c r="K82" s="6" t="s">
        <v>42</v>
      </c>
      <c r="L82" s="6" t="s">
        <v>52</v>
      </c>
      <c r="M82" s="7">
        <v>46134</v>
      </c>
      <c r="N82" s="8">
        <v>80697</v>
      </c>
      <c r="O82" s="9">
        <v>55</v>
      </c>
      <c r="P82" s="8">
        <v>852</v>
      </c>
      <c r="Q82" s="6" t="s">
        <v>126</v>
      </c>
      <c r="R82" s="6" t="s">
        <v>45</v>
      </c>
      <c r="S82" s="6" t="s">
        <v>45</v>
      </c>
      <c r="T82" s="6" t="s">
        <v>45</v>
      </c>
      <c r="U82" s="10">
        <v>1</v>
      </c>
      <c r="V82" s="6" t="s">
        <v>45</v>
      </c>
      <c r="W82" s="10">
        <v>0</v>
      </c>
      <c r="X82" s="6" t="s">
        <v>45</v>
      </c>
      <c r="Y82" s="6" t="s">
        <v>46</v>
      </c>
      <c r="Z82" s="6" t="s">
        <v>45</v>
      </c>
      <c r="AA82" s="10" t="b">
        <v>0</v>
      </c>
      <c r="AB82" s="10" t="b">
        <v>0</v>
      </c>
      <c r="AC82" s="10" t="b">
        <v>0</v>
      </c>
      <c r="AD82" s="7">
        <v>45417</v>
      </c>
      <c r="AE82" s="8">
        <v>68697</v>
      </c>
      <c r="AF82" s="6" t="s">
        <v>331</v>
      </c>
      <c r="AG82" s="8">
        <v>12852</v>
      </c>
      <c r="AH82" s="11"/>
      <c r="AI82" s="12">
        <v>0</v>
      </c>
    </row>
    <row r="83" spans="1:35" x14ac:dyDescent="0.35">
      <c r="A83" s="5" t="s">
        <v>332</v>
      </c>
      <c r="B83" s="6" t="s">
        <v>45</v>
      </c>
      <c r="C83" s="6" t="s">
        <v>333</v>
      </c>
      <c r="D83" s="6" t="s">
        <v>334</v>
      </c>
      <c r="E83" s="42" t="s">
        <v>2057</v>
      </c>
      <c r="F83" s="42" t="s">
        <v>2000</v>
      </c>
      <c r="G83" s="42" t="s">
        <v>2001</v>
      </c>
      <c r="H83" s="6" t="s">
        <v>335</v>
      </c>
      <c r="I83" s="6" t="s">
        <v>336</v>
      </c>
      <c r="J83" s="6" t="s">
        <v>41</v>
      </c>
      <c r="K83" s="6" t="s">
        <v>42</v>
      </c>
      <c r="L83" s="6" t="s">
        <v>172</v>
      </c>
      <c r="M83" s="7">
        <v>46138</v>
      </c>
      <c r="N83" s="8">
        <v>0</v>
      </c>
      <c r="O83" s="9">
        <v>52</v>
      </c>
      <c r="P83" s="8">
        <v>0</v>
      </c>
      <c r="Q83" s="6" t="s">
        <v>44</v>
      </c>
      <c r="R83" s="6" t="s">
        <v>45</v>
      </c>
      <c r="S83" s="6" t="s">
        <v>45</v>
      </c>
      <c r="T83" s="6" t="s">
        <v>45</v>
      </c>
      <c r="U83" s="10">
        <v>1</v>
      </c>
      <c r="V83" s="6" t="s">
        <v>45</v>
      </c>
      <c r="W83" s="10">
        <v>0</v>
      </c>
      <c r="X83" s="6" t="s">
        <v>45</v>
      </c>
      <c r="Y83" s="6" t="s">
        <v>46</v>
      </c>
      <c r="Z83" s="6" t="s">
        <v>45</v>
      </c>
      <c r="AA83" s="10" t="b">
        <v>0</v>
      </c>
      <c r="AB83" s="10" t="b">
        <v>0</v>
      </c>
      <c r="AC83" s="10" t="b">
        <v>1</v>
      </c>
      <c r="AD83" s="7">
        <v>45773</v>
      </c>
      <c r="AE83" s="8">
        <v>0</v>
      </c>
      <c r="AF83" s="6" t="s">
        <v>337</v>
      </c>
      <c r="AG83" s="8">
        <v>0</v>
      </c>
      <c r="AH83" s="11"/>
      <c r="AI83" s="12">
        <v>0</v>
      </c>
    </row>
    <row r="84" spans="1:35" x14ac:dyDescent="0.35">
      <c r="A84" s="5" t="s">
        <v>338</v>
      </c>
      <c r="B84" s="6" t="s">
        <v>45</v>
      </c>
      <c r="C84" s="6" t="s">
        <v>339</v>
      </c>
      <c r="D84" s="6" t="s">
        <v>334</v>
      </c>
      <c r="E84" s="42" t="s">
        <v>2057</v>
      </c>
      <c r="F84" s="42" t="s">
        <v>2000</v>
      </c>
      <c r="G84" s="42" t="s">
        <v>2001</v>
      </c>
      <c r="H84" s="6" t="s">
        <v>340</v>
      </c>
      <c r="I84" s="6" t="s">
        <v>341</v>
      </c>
      <c r="J84" s="6" t="s">
        <v>41</v>
      </c>
      <c r="K84" s="6" t="s">
        <v>42</v>
      </c>
      <c r="L84" s="6" t="s">
        <v>172</v>
      </c>
      <c r="M84" s="7">
        <v>46138</v>
      </c>
      <c r="N84" s="8">
        <v>0</v>
      </c>
      <c r="O84" s="9">
        <v>52</v>
      </c>
      <c r="P84" s="8">
        <v>0</v>
      </c>
      <c r="Q84" s="6" t="s">
        <v>44</v>
      </c>
      <c r="R84" s="6" t="s">
        <v>45</v>
      </c>
      <c r="S84" s="6" t="s">
        <v>45</v>
      </c>
      <c r="T84" s="6" t="s">
        <v>45</v>
      </c>
      <c r="U84" s="10">
        <v>1</v>
      </c>
      <c r="V84" s="6" t="s">
        <v>45</v>
      </c>
      <c r="W84" s="10">
        <v>0</v>
      </c>
      <c r="X84" s="6" t="s">
        <v>45</v>
      </c>
      <c r="Y84" s="6" t="s">
        <v>46</v>
      </c>
      <c r="Z84" s="6" t="s">
        <v>45</v>
      </c>
      <c r="AA84" s="10" t="b">
        <v>0</v>
      </c>
      <c r="AB84" s="10" t="b">
        <v>0</v>
      </c>
      <c r="AC84" s="10" t="b">
        <v>1</v>
      </c>
      <c r="AD84" s="7">
        <v>45773</v>
      </c>
      <c r="AE84" s="8">
        <v>0</v>
      </c>
      <c r="AF84" s="6" t="s">
        <v>337</v>
      </c>
      <c r="AG84" s="8">
        <v>0</v>
      </c>
      <c r="AH84" s="11"/>
      <c r="AI84" s="12">
        <v>0</v>
      </c>
    </row>
    <row r="85" spans="1:35" x14ac:dyDescent="0.35">
      <c r="A85" s="5" t="s">
        <v>342</v>
      </c>
      <c r="B85" s="6" t="s">
        <v>45</v>
      </c>
      <c r="C85" s="6" t="s">
        <v>343</v>
      </c>
      <c r="D85" s="6" t="s">
        <v>141</v>
      </c>
      <c r="E85" s="42" t="s">
        <v>1041</v>
      </c>
      <c r="F85" s="42" t="s">
        <v>1997</v>
      </c>
      <c r="G85" s="42" t="s">
        <v>1996</v>
      </c>
      <c r="H85" s="6" t="s">
        <v>45</v>
      </c>
      <c r="I85" s="6" t="s">
        <v>45</v>
      </c>
      <c r="J85" s="6" t="s">
        <v>41</v>
      </c>
      <c r="K85" s="6" t="s">
        <v>42</v>
      </c>
      <c r="L85" s="6" t="s">
        <v>52</v>
      </c>
      <c r="M85" s="7">
        <v>46138</v>
      </c>
      <c r="N85" s="8">
        <v>0</v>
      </c>
      <c r="O85" s="9">
        <v>51</v>
      </c>
      <c r="P85" s="8">
        <v>0</v>
      </c>
      <c r="Q85" s="6" t="s">
        <v>44</v>
      </c>
      <c r="R85" s="6" t="s">
        <v>45</v>
      </c>
      <c r="S85" s="6" t="s">
        <v>45</v>
      </c>
      <c r="T85" s="6" t="s">
        <v>45</v>
      </c>
      <c r="U85" s="10">
        <v>1</v>
      </c>
      <c r="V85" s="6" t="s">
        <v>45</v>
      </c>
      <c r="W85" s="10">
        <v>0</v>
      </c>
      <c r="X85" s="6" t="s">
        <v>45</v>
      </c>
      <c r="Y85" s="6" t="s">
        <v>46</v>
      </c>
      <c r="Z85" s="6" t="s">
        <v>45</v>
      </c>
      <c r="AA85" s="10" t="b">
        <v>0</v>
      </c>
      <c r="AB85" s="10" t="b">
        <v>0</v>
      </c>
      <c r="AC85" s="10" t="b">
        <v>0</v>
      </c>
      <c r="AD85" s="7">
        <v>45773</v>
      </c>
      <c r="AE85" s="8">
        <v>0</v>
      </c>
      <c r="AF85" s="6" t="s">
        <v>337</v>
      </c>
      <c r="AG85" s="8">
        <v>0</v>
      </c>
      <c r="AH85" s="11"/>
      <c r="AI85" s="12">
        <v>0</v>
      </c>
    </row>
    <row r="86" spans="1:35" x14ac:dyDescent="0.35">
      <c r="A86" s="5" t="s">
        <v>344</v>
      </c>
      <c r="B86" s="6" t="s">
        <v>45</v>
      </c>
      <c r="C86" s="6" t="s">
        <v>345</v>
      </c>
      <c r="D86" s="6" t="s">
        <v>56</v>
      </c>
      <c r="E86" s="42" t="s">
        <v>1099</v>
      </c>
      <c r="F86" s="42" t="s">
        <v>2018</v>
      </c>
      <c r="G86" s="42" t="s">
        <v>2006</v>
      </c>
      <c r="H86" s="6" t="s">
        <v>45</v>
      </c>
      <c r="I86" s="6" t="s">
        <v>45</v>
      </c>
      <c r="J86" s="6" t="s">
        <v>57</v>
      </c>
      <c r="K86" s="6" t="s">
        <v>42</v>
      </c>
      <c r="L86" s="6" t="s">
        <v>52</v>
      </c>
      <c r="M86" s="7">
        <v>46138</v>
      </c>
      <c r="N86" s="8">
        <v>0</v>
      </c>
      <c r="O86" s="9">
        <v>51</v>
      </c>
      <c r="P86" s="8">
        <v>0</v>
      </c>
      <c r="Q86" s="6" t="s">
        <v>64</v>
      </c>
      <c r="R86" s="6" t="s">
        <v>45</v>
      </c>
      <c r="S86" s="6" t="s">
        <v>45</v>
      </c>
      <c r="T86" s="6" t="s">
        <v>45</v>
      </c>
      <c r="U86" s="10">
        <v>1</v>
      </c>
      <c r="V86" s="6" t="s">
        <v>45</v>
      </c>
      <c r="W86" s="10">
        <v>0</v>
      </c>
      <c r="X86" s="6" t="s">
        <v>45</v>
      </c>
      <c r="Y86" s="6" t="s">
        <v>46</v>
      </c>
      <c r="Z86" s="6" t="s">
        <v>45</v>
      </c>
      <c r="AA86" s="10" t="b">
        <v>0</v>
      </c>
      <c r="AB86" s="10" t="b">
        <v>0</v>
      </c>
      <c r="AC86" s="10" t="b">
        <v>0</v>
      </c>
      <c r="AD86" s="7">
        <v>46048</v>
      </c>
      <c r="AE86" s="8">
        <v>0</v>
      </c>
      <c r="AF86" s="6" t="s">
        <v>346</v>
      </c>
      <c r="AG86" s="8">
        <v>0</v>
      </c>
      <c r="AH86" s="11"/>
      <c r="AI86" s="12">
        <v>0</v>
      </c>
    </row>
    <row r="87" spans="1:35" x14ac:dyDescent="0.35">
      <c r="A87" s="5" t="s">
        <v>347</v>
      </c>
      <c r="B87" s="6" t="s">
        <v>45</v>
      </c>
      <c r="C87" s="6" t="s">
        <v>343</v>
      </c>
      <c r="D87" s="6" t="s">
        <v>348</v>
      </c>
      <c r="E87" s="42" t="s">
        <v>1580</v>
      </c>
      <c r="F87" s="42" t="s">
        <v>2018</v>
      </c>
      <c r="G87" s="42" t="s">
        <v>2006</v>
      </c>
      <c r="H87" s="6" t="s">
        <v>45</v>
      </c>
      <c r="I87" s="6" t="s">
        <v>45</v>
      </c>
      <c r="J87" s="6" t="s">
        <v>41</v>
      </c>
      <c r="K87" s="6" t="s">
        <v>42</v>
      </c>
      <c r="L87" s="6" t="s">
        <v>52</v>
      </c>
      <c r="M87" s="7">
        <v>46142</v>
      </c>
      <c r="N87" s="8">
        <v>0</v>
      </c>
      <c r="O87" s="9">
        <v>47</v>
      </c>
      <c r="P87" s="8">
        <v>0</v>
      </c>
      <c r="Q87" s="6" t="s">
        <v>44</v>
      </c>
      <c r="R87" s="6" t="s">
        <v>45</v>
      </c>
      <c r="S87" s="6" t="s">
        <v>45</v>
      </c>
      <c r="T87" s="6" t="s">
        <v>45</v>
      </c>
      <c r="U87" s="10">
        <v>1</v>
      </c>
      <c r="V87" s="6" t="s">
        <v>45</v>
      </c>
      <c r="W87" s="10">
        <v>0</v>
      </c>
      <c r="X87" s="6" t="s">
        <v>45</v>
      </c>
      <c r="Y87" s="6" t="s">
        <v>46</v>
      </c>
      <c r="Z87" s="6" t="s">
        <v>45</v>
      </c>
      <c r="AA87" s="10" t="b">
        <v>0</v>
      </c>
      <c r="AB87" s="10" t="b">
        <v>0</v>
      </c>
      <c r="AC87" s="10" t="b">
        <v>0</v>
      </c>
      <c r="AD87" s="7">
        <v>45777</v>
      </c>
      <c r="AE87" s="8">
        <v>0</v>
      </c>
      <c r="AF87" s="6" t="s">
        <v>349</v>
      </c>
      <c r="AG87" s="8">
        <v>0</v>
      </c>
      <c r="AH87" s="11"/>
      <c r="AI87" s="12">
        <v>0</v>
      </c>
    </row>
    <row r="88" spans="1:35" x14ac:dyDescent="0.35">
      <c r="A88" s="5" t="s">
        <v>350</v>
      </c>
      <c r="B88" s="6" t="s">
        <v>45</v>
      </c>
      <c r="C88" s="6" t="s">
        <v>351</v>
      </c>
      <c r="D88" s="6" t="s">
        <v>62</v>
      </c>
      <c r="E88" s="42" t="s">
        <v>2058</v>
      </c>
      <c r="F88" s="42" t="s">
        <v>2020</v>
      </c>
      <c r="G88" s="42" t="s">
        <v>2001</v>
      </c>
      <c r="H88" s="6" t="s">
        <v>352</v>
      </c>
      <c r="I88" s="6" t="s">
        <v>353</v>
      </c>
      <c r="J88" s="6" t="s">
        <v>190</v>
      </c>
      <c r="K88" s="6" t="s">
        <v>42</v>
      </c>
      <c r="L88" s="6" t="s">
        <v>172</v>
      </c>
      <c r="M88" s="7">
        <v>46147</v>
      </c>
      <c r="N88" s="8">
        <v>25509</v>
      </c>
      <c r="O88" s="9">
        <v>42</v>
      </c>
      <c r="P88" s="8">
        <v>411</v>
      </c>
      <c r="Q88" s="6" t="s">
        <v>109</v>
      </c>
      <c r="R88" s="6" t="s">
        <v>45</v>
      </c>
      <c r="S88" s="6" t="s">
        <v>45</v>
      </c>
      <c r="T88" s="6" t="s">
        <v>45</v>
      </c>
      <c r="U88" s="10">
        <v>1</v>
      </c>
      <c r="V88" s="6" t="s">
        <v>45</v>
      </c>
      <c r="W88" s="10">
        <v>0</v>
      </c>
      <c r="X88" s="6" t="s">
        <v>45</v>
      </c>
      <c r="Y88" s="6" t="s">
        <v>46</v>
      </c>
      <c r="Z88" s="6" t="s">
        <v>45</v>
      </c>
      <c r="AA88" s="10" t="b">
        <v>0</v>
      </c>
      <c r="AB88" s="10" t="b">
        <v>0</v>
      </c>
      <c r="AC88" s="10" t="b">
        <v>1</v>
      </c>
      <c r="AD88" s="7">
        <v>45503</v>
      </c>
      <c r="AE88" s="8">
        <v>19509</v>
      </c>
      <c r="AF88" s="6" t="s">
        <v>354</v>
      </c>
      <c r="AG88" s="8">
        <v>6411</v>
      </c>
      <c r="AH88" s="11"/>
      <c r="AI88" s="12">
        <v>0</v>
      </c>
    </row>
    <row r="89" spans="1:35" x14ac:dyDescent="0.35">
      <c r="A89" s="5" t="s">
        <v>355</v>
      </c>
      <c r="B89" s="6" t="s">
        <v>45</v>
      </c>
      <c r="C89" s="6" t="s">
        <v>351</v>
      </c>
      <c r="D89" s="6" t="s">
        <v>62</v>
      </c>
      <c r="E89" s="42" t="s">
        <v>2058</v>
      </c>
      <c r="F89" s="42" t="s">
        <v>2020</v>
      </c>
      <c r="G89" s="42" t="s">
        <v>2001</v>
      </c>
      <c r="H89" s="6" t="s">
        <v>356</v>
      </c>
      <c r="I89" s="6" t="s">
        <v>357</v>
      </c>
      <c r="J89" s="6" t="s">
        <v>190</v>
      </c>
      <c r="K89" s="6" t="s">
        <v>42</v>
      </c>
      <c r="L89" s="6" t="s">
        <v>172</v>
      </c>
      <c r="M89" s="7">
        <v>46147</v>
      </c>
      <c r="N89" s="8">
        <v>25509</v>
      </c>
      <c r="O89" s="9">
        <v>42</v>
      </c>
      <c r="P89" s="8">
        <v>411</v>
      </c>
      <c r="Q89" s="6" t="s">
        <v>109</v>
      </c>
      <c r="R89" s="6" t="s">
        <v>45</v>
      </c>
      <c r="S89" s="6" t="s">
        <v>45</v>
      </c>
      <c r="T89" s="6" t="s">
        <v>45</v>
      </c>
      <c r="U89" s="10">
        <v>1</v>
      </c>
      <c r="V89" s="6" t="s">
        <v>45</v>
      </c>
      <c r="W89" s="10">
        <v>0</v>
      </c>
      <c r="X89" s="6" t="s">
        <v>45</v>
      </c>
      <c r="Y89" s="6" t="s">
        <v>46</v>
      </c>
      <c r="Z89" s="6" t="s">
        <v>45</v>
      </c>
      <c r="AA89" s="10" t="b">
        <v>0</v>
      </c>
      <c r="AB89" s="10" t="b">
        <v>0</v>
      </c>
      <c r="AC89" s="10" t="b">
        <v>1</v>
      </c>
      <c r="AD89" s="7">
        <v>45503</v>
      </c>
      <c r="AE89" s="8">
        <v>19509</v>
      </c>
      <c r="AF89" s="6" t="s">
        <v>354</v>
      </c>
      <c r="AG89" s="8">
        <v>6411</v>
      </c>
      <c r="AH89" s="11"/>
      <c r="AI89" s="12">
        <v>0</v>
      </c>
    </row>
    <row r="90" spans="1:35" x14ac:dyDescent="0.35">
      <c r="A90" s="5" t="s">
        <v>358</v>
      </c>
      <c r="B90" s="6" t="s">
        <v>45</v>
      </c>
      <c r="C90" s="6" t="s">
        <v>351</v>
      </c>
      <c r="D90" s="6" t="s">
        <v>62</v>
      </c>
      <c r="E90" s="42" t="s">
        <v>2058</v>
      </c>
      <c r="F90" s="42" t="s">
        <v>2020</v>
      </c>
      <c r="G90" s="42" t="s">
        <v>2001</v>
      </c>
      <c r="H90" s="6" t="s">
        <v>359</v>
      </c>
      <c r="I90" s="6" t="s">
        <v>360</v>
      </c>
      <c r="J90" s="6" t="s">
        <v>190</v>
      </c>
      <c r="K90" s="6" t="s">
        <v>42</v>
      </c>
      <c r="L90" s="6" t="s">
        <v>172</v>
      </c>
      <c r="M90" s="7">
        <v>46147</v>
      </c>
      <c r="N90" s="8">
        <v>25509</v>
      </c>
      <c r="O90" s="9">
        <v>42</v>
      </c>
      <c r="P90" s="8">
        <v>411</v>
      </c>
      <c r="Q90" s="6" t="s">
        <v>109</v>
      </c>
      <c r="R90" s="6" t="s">
        <v>45</v>
      </c>
      <c r="S90" s="6" t="s">
        <v>45</v>
      </c>
      <c r="T90" s="6" t="s">
        <v>45</v>
      </c>
      <c r="U90" s="10">
        <v>1</v>
      </c>
      <c r="V90" s="6" t="s">
        <v>45</v>
      </c>
      <c r="W90" s="10">
        <v>0</v>
      </c>
      <c r="X90" s="6" t="s">
        <v>45</v>
      </c>
      <c r="Y90" s="6" t="s">
        <v>46</v>
      </c>
      <c r="Z90" s="6" t="s">
        <v>45</v>
      </c>
      <c r="AA90" s="10" t="b">
        <v>0</v>
      </c>
      <c r="AB90" s="10" t="b">
        <v>0</v>
      </c>
      <c r="AC90" s="10" t="b">
        <v>1</v>
      </c>
      <c r="AD90" s="7">
        <v>45503</v>
      </c>
      <c r="AE90" s="8">
        <v>19509</v>
      </c>
      <c r="AF90" s="6" t="s">
        <v>354</v>
      </c>
      <c r="AG90" s="8">
        <v>6411</v>
      </c>
      <c r="AH90" s="11"/>
      <c r="AI90" s="12">
        <v>0</v>
      </c>
    </row>
    <row r="91" spans="1:35" x14ac:dyDescent="0.35">
      <c r="A91" s="5" t="s">
        <v>361</v>
      </c>
      <c r="B91" s="6" t="s">
        <v>45</v>
      </c>
      <c r="C91" s="6" t="s">
        <v>351</v>
      </c>
      <c r="D91" s="6" t="s">
        <v>62</v>
      </c>
      <c r="E91" s="42" t="s">
        <v>2058</v>
      </c>
      <c r="F91" s="42" t="s">
        <v>2020</v>
      </c>
      <c r="G91" s="42" t="s">
        <v>2001</v>
      </c>
      <c r="H91" s="6" t="s">
        <v>362</v>
      </c>
      <c r="I91" s="6" t="s">
        <v>363</v>
      </c>
      <c r="J91" s="6" t="s">
        <v>190</v>
      </c>
      <c r="K91" s="6" t="s">
        <v>42</v>
      </c>
      <c r="L91" s="6" t="s">
        <v>172</v>
      </c>
      <c r="M91" s="7">
        <v>46147</v>
      </c>
      <c r="N91" s="8">
        <v>25509</v>
      </c>
      <c r="O91" s="9">
        <v>42</v>
      </c>
      <c r="P91" s="8">
        <v>411</v>
      </c>
      <c r="Q91" s="6" t="s">
        <v>109</v>
      </c>
      <c r="R91" s="6" t="s">
        <v>45</v>
      </c>
      <c r="S91" s="6" t="s">
        <v>45</v>
      </c>
      <c r="T91" s="6" t="s">
        <v>45</v>
      </c>
      <c r="U91" s="10">
        <v>1</v>
      </c>
      <c r="V91" s="6" t="s">
        <v>45</v>
      </c>
      <c r="W91" s="10">
        <v>0</v>
      </c>
      <c r="X91" s="6" t="s">
        <v>45</v>
      </c>
      <c r="Y91" s="6" t="s">
        <v>46</v>
      </c>
      <c r="Z91" s="6" t="s">
        <v>45</v>
      </c>
      <c r="AA91" s="10" t="b">
        <v>0</v>
      </c>
      <c r="AB91" s="10" t="b">
        <v>0</v>
      </c>
      <c r="AC91" s="10" t="b">
        <v>1</v>
      </c>
      <c r="AD91" s="7">
        <v>45503</v>
      </c>
      <c r="AE91" s="8">
        <v>19509</v>
      </c>
      <c r="AF91" s="6" t="s">
        <v>354</v>
      </c>
      <c r="AG91" s="8">
        <v>6411</v>
      </c>
      <c r="AH91" s="11"/>
      <c r="AI91" s="12">
        <v>0</v>
      </c>
    </row>
    <row r="92" spans="1:35" x14ac:dyDescent="0.35">
      <c r="A92" s="5" t="s">
        <v>364</v>
      </c>
      <c r="B92" s="6" t="s">
        <v>45</v>
      </c>
      <c r="C92" s="6" t="s">
        <v>351</v>
      </c>
      <c r="D92" s="6" t="s">
        <v>62</v>
      </c>
      <c r="E92" s="42" t="s">
        <v>2058</v>
      </c>
      <c r="F92" s="42" t="s">
        <v>2020</v>
      </c>
      <c r="G92" s="42" t="s">
        <v>2001</v>
      </c>
      <c r="H92" s="6" t="s">
        <v>365</v>
      </c>
      <c r="I92" s="6" t="s">
        <v>366</v>
      </c>
      <c r="J92" s="6" t="s">
        <v>190</v>
      </c>
      <c r="K92" s="6" t="s">
        <v>42</v>
      </c>
      <c r="L92" s="6" t="s">
        <v>172</v>
      </c>
      <c r="M92" s="7">
        <v>46147</v>
      </c>
      <c r="N92" s="8">
        <v>25509</v>
      </c>
      <c r="O92" s="9">
        <v>42</v>
      </c>
      <c r="P92" s="8">
        <v>411</v>
      </c>
      <c r="Q92" s="6" t="s">
        <v>109</v>
      </c>
      <c r="R92" s="6" t="s">
        <v>45</v>
      </c>
      <c r="S92" s="6" t="s">
        <v>45</v>
      </c>
      <c r="T92" s="6" t="s">
        <v>45</v>
      </c>
      <c r="U92" s="10">
        <v>1</v>
      </c>
      <c r="V92" s="6" t="s">
        <v>45</v>
      </c>
      <c r="W92" s="10">
        <v>0</v>
      </c>
      <c r="X92" s="6" t="s">
        <v>45</v>
      </c>
      <c r="Y92" s="6" t="s">
        <v>46</v>
      </c>
      <c r="Z92" s="6" t="s">
        <v>45</v>
      </c>
      <c r="AA92" s="10" t="b">
        <v>0</v>
      </c>
      <c r="AB92" s="10" t="b">
        <v>0</v>
      </c>
      <c r="AC92" s="10" t="b">
        <v>1</v>
      </c>
      <c r="AD92" s="7">
        <v>45503</v>
      </c>
      <c r="AE92" s="8">
        <v>19509</v>
      </c>
      <c r="AF92" s="6" t="s">
        <v>354</v>
      </c>
      <c r="AG92" s="8">
        <v>6411</v>
      </c>
      <c r="AH92" s="11"/>
      <c r="AI92" s="12">
        <v>0</v>
      </c>
    </row>
    <row r="93" spans="1:35" x14ac:dyDescent="0.35">
      <c r="A93" s="5" t="s">
        <v>367</v>
      </c>
      <c r="B93" s="6" t="s">
        <v>45</v>
      </c>
      <c r="C93" s="6" t="s">
        <v>368</v>
      </c>
      <c r="D93" s="6" t="s">
        <v>56</v>
      </c>
      <c r="E93" s="42" t="s">
        <v>1099</v>
      </c>
      <c r="F93" s="42" t="s">
        <v>2018</v>
      </c>
      <c r="G93" s="42" t="s">
        <v>2006</v>
      </c>
      <c r="H93" s="6" t="s">
        <v>45</v>
      </c>
      <c r="I93" s="6" t="s">
        <v>45</v>
      </c>
      <c r="J93" s="6" t="s">
        <v>161</v>
      </c>
      <c r="K93" s="6" t="s">
        <v>42</v>
      </c>
      <c r="L93" s="6" t="s">
        <v>52</v>
      </c>
      <c r="M93" s="7">
        <v>46149</v>
      </c>
      <c r="N93" s="8">
        <v>0</v>
      </c>
      <c r="O93" s="9">
        <v>40</v>
      </c>
      <c r="P93" s="8">
        <v>0</v>
      </c>
      <c r="Q93" s="6" t="s">
        <v>64</v>
      </c>
      <c r="R93" s="6" t="s">
        <v>45</v>
      </c>
      <c r="S93" s="6" t="s">
        <v>45</v>
      </c>
      <c r="T93" s="6" t="s">
        <v>45</v>
      </c>
      <c r="U93" s="10">
        <v>1</v>
      </c>
      <c r="V93" s="6" t="s">
        <v>45</v>
      </c>
      <c r="W93" s="10">
        <v>0</v>
      </c>
      <c r="X93" s="6" t="s">
        <v>45</v>
      </c>
      <c r="Y93" s="6" t="s">
        <v>46</v>
      </c>
      <c r="Z93" s="6" t="s">
        <v>45</v>
      </c>
      <c r="AA93" s="10" t="b">
        <v>0</v>
      </c>
      <c r="AB93" s="10" t="b">
        <v>0</v>
      </c>
      <c r="AC93" s="10" t="b">
        <v>0</v>
      </c>
      <c r="AD93" s="7">
        <v>45968</v>
      </c>
      <c r="AE93" s="8">
        <v>0</v>
      </c>
      <c r="AF93" s="6" t="s">
        <v>369</v>
      </c>
      <c r="AG93" s="8">
        <v>0</v>
      </c>
      <c r="AH93" s="11"/>
      <c r="AI93" s="12">
        <v>0</v>
      </c>
    </row>
    <row r="94" spans="1:35" x14ac:dyDescent="0.35">
      <c r="A94" s="5" t="s">
        <v>370</v>
      </c>
      <c r="B94" s="6" t="s">
        <v>45</v>
      </c>
      <c r="C94" s="6" t="s">
        <v>371</v>
      </c>
      <c r="D94" s="6" t="s">
        <v>372</v>
      </c>
      <c r="E94" s="42" t="s">
        <v>1559</v>
      </c>
      <c r="F94" s="42" t="s">
        <v>2003</v>
      </c>
      <c r="G94" s="42" t="s">
        <v>2004</v>
      </c>
      <c r="H94" s="6" t="s">
        <v>373</v>
      </c>
      <c r="I94" s="6" t="s">
        <v>374</v>
      </c>
      <c r="J94" s="6" t="s">
        <v>307</v>
      </c>
      <c r="K94" s="6" t="s">
        <v>42</v>
      </c>
      <c r="L94" s="6" t="s">
        <v>172</v>
      </c>
      <c r="M94" s="7">
        <v>46150</v>
      </c>
      <c r="N94" s="8">
        <v>40264</v>
      </c>
      <c r="O94" s="9">
        <v>39</v>
      </c>
      <c r="P94" s="8">
        <v>455</v>
      </c>
      <c r="Q94" s="6" t="s">
        <v>109</v>
      </c>
      <c r="R94" s="6" t="s">
        <v>45</v>
      </c>
      <c r="S94" s="6" t="s">
        <v>45</v>
      </c>
      <c r="T94" s="6" t="s">
        <v>45</v>
      </c>
      <c r="U94" s="10">
        <v>1</v>
      </c>
      <c r="V94" s="6" t="s">
        <v>45</v>
      </c>
      <c r="W94" s="10">
        <v>0</v>
      </c>
      <c r="X94" s="6" t="s">
        <v>45</v>
      </c>
      <c r="Y94" s="6" t="s">
        <v>46</v>
      </c>
      <c r="Z94" s="6" t="s">
        <v>45</v>
      </c>
      <c r="AA94" s="10" t="b">
        <v>0</v>
      </c>
      <c r="AB94" s="10" t="b">
        <v>0</v>
      </c>
      <c r="AC94" s="10" t="b">
        <v>1</v>
      </c>
      <c r="AD94" s="7">
        <v>45449</v>
      </c>
      <c r="AE94" s="8">
        <v>30264</v>
      </c>
      <c r="AF94" s="6" t="s">
        <v>375</v>
      </c>
      <c r="AG94" s="8">
        <v>10455</v>
      </c>
      <c r="AH94" s="11"/>
      <c r="AI94" s="12">
        <v>0</v>
      </c>
    </row>
    <row r="95" spans="1:35" x14ac:dyDescent="0.35">
      <c r="A95" s="5" t="s">
        <v>376</v>
      </c>
      <c r="B95" s="6" t="s">
        <v>45</v>
      </c>
      <c r="C95" s="6" t="s">
        <v>371</v>
      </c>
      <c r="D95" s="6" t="s">
        <v>372</v>
      </c>
      <c r="E95" s="42" t="s">
        <v>1559</v>
      </c>
      <c r="F95" s="42" t="s">
        <v>2003</v>
      </c>
      <c r="G95" s="42" t="s">
        <v>2004</v>
      </c>
      <c r="H95" s="6" t="s">
        <v>377</v>
      </c>
      <c r="I95" s="6" t="s">
        <v>378</v>
      </c>
      <c r="J95" s="6" t="s">
        <v>307</v>
      </c>
      <c r="K95" s="6" t="s">
        <v>42</v>
      </c>
      <c r="L95" s="6" t="s">
        <v>172</v>
      </c>
      <c r="M95" s="7">
        <v>46150</v>
      </c>
      <c r="N95" s="8">
        <v>40264</v>
      </c>
      <c r="O95" s="9">
        <v>39</v>
      </c>
      <c r="P95" s="8">
        <v>455</v>
      </c>
      <c r="Q95" s="6" t="s">
        <v>109</v>
      </c>
      <c r="R95" s="6" t="s">
        <v>45</v>
      </c>
      <c r="S95" s="6" t="s">
        <v>45</v>
      </c>
      <c r="T95" s="6" t="s">
        <v>45</v>
      </c>
      <c r="U95" s="10">
        <v>1</v>
      </c>
      <c r="V95" s="6" t="s">
        <v>45</v>
      </c>
      <c r="W95" s="10">
        <v>0</v>
      </c>
      <c r="X95" s="6" t="s">
        <v>45</v>
      </c>
      <c r="Y95" s="6" t="s">
        <v>46</v>
      </c>
      <c r="Z95" s="6" t="s">
        <v>45</v>
      </c>
      <c r="AA95" s="10" t="b">
        <v>0</v>
      </c>
      <c r="AB95" s="10" t="b">
        <v>0</v>
      </c>
      <c r="AC95" s="10" t="b">
        <v>1</v>
      </c>
      <c r="AD95" s="7">
        <v>45449</v>
      </c>
      <c r="AE95" s="8">
        <v>30264</v>
      </c>
      <c r="AF95" s="6" t="s">
        <v>375</v>
      </c>
      <c r="AG95" s="8">
        <v>10455</v>
      </c>
      <c r="AH95" s="11"/>
      <c r="AI95" s="12">
        <v>0</v>
      </c>
    </row>
    <row r="96" spans="1:35" x14ac:dyDescent="0.35">
      <c r="A96" s="5" t="s">
        <v>379</v>
      </c>
      <c r="B96" s="6" t="s">
        <v>45</v>
      </c>
      <c r="C96" s="6" t="s">
        <v>371</v>
      </c>
      <c r="D96" s="6" t="s">
        <v>372</v>
      </c>
      <c r="E96" s="42" t="s">
        <v>1559</v>
      </c>
      <c r="F96" s="42" t="s">
        <v>2003</v>
      </c>
      <c r="G96" s="42" t="s">
        <v>2004</v>
      </c>
      <c r="H96" s="6" t="s">
        <v>380</v>
      </c>
      <c r="I96" s="6" t="s">
        <v>381</v>
      </c>
      <c r="J96" s="6" t="s">
        <v>307</v>
      </c>
      <c r="K96" s="6" t="s">
        <v>42</v>
      </c>
      <c r="L96" s="6" t="s">
        <v>172</v>
      </c>
      <c r="M96" s="7">
        <v>46150</v>
      </c>
      <c r="N96" s="8">
        <v>40264</v>
      </c>
      <c r="O96" s="9">
        <v>39</v>
      </c>
      <c r="P96" s="8">
        <v>455</v>
      </c>
      <c r="Q96" s="6" t="s">
        <v>109</v>
      </c>
      <c r="R96" s="6" t="s">
        <v>45</v>
      </c>
      <c r="S96" s="6" t="s">
        <v>45</v>
      </c>
      <c r="T96" s="6" t="s">
        <v>45</v>
      </c>
      <c r="U96" s="10">
        <v>1</v>
      </c>
      <c r="V96" s="6" t="s">
        <v>45</v>
      </c>
      <c r="W96" s="10">
        <v>0</v>
      </c>
      <c r="X96" s="6" t="s">
        <v>45</v>
      </c>
      <c r="Y96" s="6" t="s">
        <v>46</v>
      </c>
      <c r="Z96" s="6" t="s">
        <v>45</v>
      </c>
      <c r="AA96" s="10" t="b">
        <v>0</v>
      </c>
      <c r="AB96" s="10" t="b">
        <v>0</v>
      </c>
      <c r="AC96" s="10" t="b">
        <v>1</v>
      </c>
      <c r="AD96" s="7">
        <v>45449</v>
      </c>
      <c r="AE96" s="8">
        <v>30264</v>
      </c>
      <c r="AF96" s="6" t="s">
        <v>375</v>
      </c>
      <c r="AG96" s="8">
        <v>10455</v>
      </c>
      <c r="AH96" s="11"/>
      <c r="AI96" s="12">
        <v>0</v>
      </c>
    </row>
    <row r="97" spans="1:35" x14ac:dyDescent="0.35">
      <c r="A97" s="5" t="s">
        <v>382</v>
      </c>
      <c r="B97" s="6" t="s">
        <v>45</v>
      </c>
      <c r="C97" s="6" t="s">
        <v>371</v>
      </c>
      <c r="D97" s="6" t="s">
        <v>372</v>
      </c>
      <c r="E97" s="42" t="s">
        <v>1559</v>
      </c>
      <c r="F97" s="42" t="s">
        <v>2003</v>
      </c>
      <c r="G97" s="42" t="s">
        <v>2004</v>
      </c>
      <c r="H97" s="6" t="s">
        <v>383</v>
      </c>
      <c r="I97" s="6" t="s">
        <v>384</v>
      </c>
      <c r="J97" s="6" t="s">
        <v>307</v>
      </c>
      <c r="K97" s="6" t="s">
        <v>42</v>
      </c>
      <c r="L97" s="6" t="s">
        <v>172</v>
      </c>
      <c r="M97" s="7">
        <v>46150</v>
      </c>
      <c r="N97" s="8">
        <v>40264</v>
      </c>
      <c r="O97" s="9">
        <v>39</v>
      </c>
      <c r="P97" s="8">
        <v>455</v>
      </c>
      <c r="Q97" s="6" t="s">
        <v>109</v>
      </c>
      <c r="R97" s="6" t="s">
        <v>45</v>
      </c>
      <c r="S97" s="6" t="s">
        <v>45</v>
      </c>
      <c r="T97" s="6" t="s">
        <v>45</v>
      </c>
      <c r="U97" s="10">
        <v>1</v>
      </c>
      <c r="V97" s="6" t="s">
        <v>45</v>
      </c>
      <c r="W97" s="10">
        <v>0</v>
      </c>
      <c r="X97" s="6" t="s">
        <v>45</v>
      </c>
      <c r="Y97" s="6" t="s">
        <v>46</v>
      </c>
      <c r="Z97" s="6" t="s">
        <v>45</v>
      </c>
      <c r="AA97" s="10" t="b">
        <v>0</v>
      </c>
      <c r="AB97" s="10" t="b">
        <v>0</v>
      </c>
      <c r="AC97" s="10" t="b">
        <v>1</v>
      </c>
      <c r="AD97" s="7">
        <v>45449</v>
      </c>
      <c r="AE97" s="8">
        <v>30264</v>
      </c>
      <c r="AF97" s="6" t="s">
        <v>375</v>
      </c>
      <c r="AG97" s="8">
        <v>10455</v>
      </c>
      <c r="AH97" s="11"/>
      <c r="AI97" s="12">
        <v>0</v>
      </c>
    </row>
    <row r="98" spans="1:35" x14ac:dyDescent="0.35">
      <c r="A98" s="5" t="s">
        <v>385</v>
      </c>
      <c r="B98" s="6" t="s">
        <v>45</v>
      </c>
      <c r="C98" s="6" t="s">
        <v>371</v>
      </c>
      <c r="D98" s="6" t="s">
        <v>372</v>
      </c>
      <c r="E98" s="42" t="s">
        <v>1559</v>
      </c>
      <c r="F98" s="42" t="s">
        <v>2003</v>
      </c>
      <c r="G98" s="42" t="s">
        <v>2004</v>
      </c>
      <c r="H98" s="6" t="s">
        <v>386</v>
      </c>
      <c r="I98" s="6" t="s">
        <v>387</v>
      </c>
      <c r="J98" s="6" t="s">
        <v>307</v>
      </c>
      <c r="K98" s="6" t="s">
        <v>42</v>
      </c>
      <c r="L98" s="6" t="s">
        <v>172</v>
      </c>
      <c r="M98" s="7">
        <v>46150</v>
      </c>
      <c r="N98" s="8">
        <v>40264</v>
      </c>
      <c r="O98" s="9">
        <v>39</v>
      </c>
      <c r="P98" s="8">
        <v>455</v>
      </c>
      <c r="Q98" s="6" t="s">
        <v>109</v>
      </c>
      <c r="R98" s="6" t="s">
        <v>45</v>
      </c>
      <c r="S98" s="6" t="s">
        <v>45</v>
      </c>
      <c r="T98" s="6" t="s">
        <v>45</v>
      </c>
      <c r="U98" s="10">
        <v>1</v>
      </c>
      <c r="V98" s="6" t="s">
        <v>45</v>
      </c>
      <c r="W98" s="10">
        <v>0</v>
      </c>
      <c r="X98" s="6" t="s">
        <v>45</v>
      </c>
      <c r="Y98" s="6" t="s">
        <v>46</v>
      </c>
      <c r="Z98" s="6" t="s">
        <v>45</v>
      </c>
      <c r="AA98" s="10" t="b">
        <v>0</v>
      </c>
      <c r="AB98" s="10" t="b">
        <v>0</v>
      </c>
      <c r="AC98" s="10" t="b">
        <v>1</v>
      </c>
      <c r="AD98" s="7">
        <v>45449</v>
      </c>
      <c r="AE98" s="8">
        <v>30264</v>
      </c>
      <c r="AF98" s="6" t="s">
        <v>375</v>
      </c>
      <c r="AG98" s="8">
        <v>10455</v>
      </c>
      <c r="AH98" s="11"/>
      <c r="AI98" s="12">
        <v>0</v>
      </c>
    </row>
    <row r="99" spans="1:35" x14ac:dyDescent="0.35">
      <c r="A99" s="5" t="s">
        <v>388</v>
      </c>
      <c r="B99" s="6" t="s">
        <v>45</v>
      </c>
      <c r="C99" s="6" t="s">
        <v>371</v>
      </c>
      <c r="D99" s="6" t="s">
        <v>372</v>
      </c>
      <c r="E99" s="42" t="s">
        <v>1559</v>
      </c>
      <c r="F99" s="42" t="s">
        <v>2003</v>
      </c>
      <c r="G99" s="42" t="s">
        <v>2004</v>
      </c>
      <c r="H99" s="6" t="s">
        <v>389</v>
      </c>
      <c r="I99" s="6" t="s">
        <v>390</v>
      </c>
      <c r="J99" s="6" t="s">
        <v>307</v>
      </c>
      <c r="K99" s="6" t="s">
        <v>42</v>
      </c>
      <c r="L99" s="6" t="s">
        <v>172</v>
      </c>
      <c r="M99" s="7">
        <v>46150</v>
      </c>
      <c r="N99" s="8">
        <v>40264</v>
      </c>
      <c r="O99" s="9">
        <v>39</v>
      </c>
      <c r="P99" s="8">
        <v>455</v>
      </c>
      <c r="Q99" s="6" t="s">
        <v>109</v>
      </c>
      <c r="R99" s="6" t="s">
        <v>45</v>
      </c>
      <c r="S99" s="6" t="s">
        <v>45</v>
      </c>
      <c r="T99" s="6" t="s">
        <v>45</v>
      </c>
      <c r="U99" s="10">
        <v>1</v>
      </c>
      <c r="V99" s="6" t="s">
        <v>45</v>
      </c>
      <c r="W99" s="10">
        <v>0</v>
      </c>
      <c r="X99" s="6" t="s">
        <v>45</v>
      </c>
      <c r="Y99" s="6" t="s">
        <v>46</v>
      </c>
      <c r="Z99" s="6" t="s">
        <v>45</v>
      </c>
      <c r="AA99" s="10" t="b">
        <v>0</v>
      </c>
      <c r="AB99" s="10" t="b">
        <v>0</v>
      </c>
      <c r="AC99" s="10" t="b">
        <v>1</v>
      </c>
      <c r="AD99" s="7">
        <v>45449</v>
      </c>
      <c r="AE99" s="8">
        <v>30264</v>
      </c>
      <c r="AF99" s="6" t="s">
        <v>375</v>
      </c>
      <c r="AG99" s="8">
        <v>10455</v>
      </c>
      <c r="AH99" s="11"/>
      <c r="AI99" s="12">
        <v>0</v>
      </c>
    </row>
    <row r="100" spans="1:35" x14ac:dyDescent="0.35">
      <c r="A100" s="5" t="s">
        <v>391</v>
      </c>
      <c r="B100" s="6" t="s">
        <v>45</v>
      </c>
      <c r="C100" s="6" t="s">
        <v>392</v>
      </c>
      <c r="D100" s="6" t="s">
        <v>265</v>
      </c>
      <c r="E100" s="42" t="s">
        <v>817</v>
      </c>
      <c r="F100" s="42" t="s">
        <v>2007</v>
      </c>
      <c r="G100" s="42" t="s">
        <v>2006</v>
      </c>
      <c r="H100" s="6" t="s">
        <v>45</v>
      </c>
      <c r="I100" s="6" t="s">
        <v>45</v>
      </c>
      <c r="J100" s="6" t="s">
        <v>393</v>
      </c>
      <c r="K100" s="6" t="s">
        <v>42</v>
      </c>
      <c r="L100" s="6" t="s">
        <v>52</v>
      </c>
      <c r="M100" s="7">
        <v>46150</v>
      </c>
      <c r="N100" s="8">
        <v>0</v>
      </c>
      <c r="O100" s="9">
        <v>39</v>
      </c>
      <c r="P100" s="8">
        <v>0</v>
      </c>
      <c r="Q100" s="6" t="s">
        <v>109</v>
      </c>
      <c r="R100" s="6" t="s">
        <v>45</v>
      </c>
      <c r="S100" s="6" t="s">
        <v>45</v>
      </c>
      <c r="T100" s="6" t="s">
        <v>45</v>
      </c>
      <c r="U100" s="10">
        <v>1</v>
      </c>
      <c r="V100" s="6" t="s">
        <v>45</v>
      </c>
      <c r="W100" s="10">
        <v>0</v>
      </c>
      <c r="X100" s="6" t="s">
        <v>45</v>
      </c>
      <c r="Y100" s="6" t="s">
        <v>46</v>
      </c>
      <c r="Z100" s="6" t="s">
        <v>45</v>
      </c>
      <c r="AA100" s="10" t="b">
        <v>0</v>
      </c>
      <c r="AB100" s="10" t="b">
        <v>0</v>
      </c>
      <c r="AC100" s="10" t="b">
        <v>0</v>
      </c>
      <c r="AD100" s="7">
        <v>46143</v>
      </c>
      <c r="AE100" s="8">
        <v>0</v>
      </c>
      <c r="AF100" s="6" t="s">
        <v>394</v>
      </c>
      <c r="AG100" s="8">
        <v>0</v>
      </c>
      <c r="AH100" s="11"/>
      <c r="AI100" s="12">
        <v>0</v>
      </c>
    </row>
    <row r="101" spans="1:35" x14ac:dyDescent="0.35">
      <c r="A101" s="5" t="s">
        <v>395</v>
      </c>
      <c r="B101" s="6" t="s">
        <v>45</v>
      </c>
      <c r="C101" s="6" t="s">
        <v>396</v>
      </c>
      <c r="D101" s="6" t="s">
        <v>158</v>
      </c>
      <c r="E101" s="42" t="s">
        <v>2026</v>
      </c>
      <c r="F101" s="42" t="s">
        <v>1995</v>
      </c>
      <c r="G101" s="42" t="s">
        <v>1996</v>
      </c>
      <c r="H101" s="6" t="s">
        <v>397</v>
      </c>
      <c r="I101" s="6" t="s">
        <v>398</v>
      </c>
      <c r="J101" s="6" t="s">
        <v>99</v>
      </c>
      <c r="K101" s="6" t="s">
        <v>42</v>
      </c>
      <c r="L101" s="6" t="s">
        <v>43</v>
      </c>
      <c r="M101" s="7">
        <v>46151</v>
      </c>
      <c r="N101" s="8">
        <v>0</v>
      </c>
      <c r="O101" s="9">
        <v>38</v>
      </c>
      <c r="P101" s="8">
        <v>0</v>
      </c>
      <c r="Q101" s="6" t="s">
        <v>126</v>
      </c>
      <c r="R101" s="6" t="s">
        <v>45</v>
      </c>
      <c r="S101" s="6" t="s">
        <v>45</v>
      </c>
      <c r="T101" s="6" t="s">
        <v>45</v>
      </c>
      <c r="U101" s="10">
        <v>1</v>
      </c>
      <c r="V101" s="6" t="s">
        <v>45</v>
      </c>
      <c r="W101" s="10">
        <v>0</v>
      </c>
      <c r="X101" s="6" t="s">
        <v>45</v>
      </c>
      <c r="Y101" s="6" t="s">
        <v>46</v>
      </c>
      <c r="Z101" s="6" t="s">
        <v>399</v>
      </c>
      <c r="AA101" s="10" t="b">
        <v>1</v>
      </c>
      <c r="AB101" s="10" t="b">
        <v>0</v>
      </c>
      <c r="AC101" s="10" t="b">
        <v>0</v>
      </c>
      <c r="AD101" s="7">
        <v>45990</v>
      </c>
      <c r="AE101" s="8">
        <v>0</v>
      </c>
      <c r="AF101" s="6" t="s">
        <v>400</v>
      </c>
      <c r="AG101" s="8">
        <v>0</v>
      </c>
      <c r="AH101" s="11"/>
      <c r="AI101" s="12">
        <v>0</v>
      </c>
    </row>
    <row r="102" spans="1:35" x14ac:dyDescent="0.35">
      <c r="A102" s="5" t="s">
        <v>401</v>
      </c>
      <c r="B102" s="6" t="s">
        <v>45</v>
      </c>
      <c r="C102" s="6" t="s">
        <v>304</v>
      </c>
      <c r="D102" s="6" t="s">
        <v>402</v>
      </c>
      <c r="E102" s="42" t="s">
        <v>2052</v>
      </c>
      <c r="F102" s="42" t="s">
        <v>1998</v>
      </c>
      <c r="G102" s="42" t="s">
        <v>1999</v>
      </c>
      <c r="H102" s="6" t="s">
        <v>85</v>
      </c>
      <c r="I102" s="6" t="s">
        <v>403</v>
      </c>
      <c r="J102" s="6" t="s">
        <v>114</v>
      </c>
      <c r="K102" s="6" t="s">
        <v>42</v>
      </c>
      <c r="L102" s="6" t="s">
        <v>172</v>
      </c>
      <c r="M102" s="7">
        <v>46152</v>
      </c>
      <c r="N102" s="8">
        <v>8000</v>
      </c>
      <c r="O102" s="9">
        <v>37</v>
      </c>
      <c r="P102" s="8">
        <v>530</v>
      </c>
      <c r="Q102" s="6" t="s">
        <v>76</v>
      </c>
      <c r="R102" s="6" t="s">
        <v>45</v>
      </c>
      <c r="S102" s="6" t="s">
        <v>45</v>
      </c>
      <c r="T102" s="6" t="s">
        <v>45</v>
      </c>
      <c r="U102" s="10">
        <v>1</v>
      </c>
      <c r="V102" s="6" t="s">
        <v>45</v>
      </c>
      <c r="W102" s="10">
        <v>0</v>
      </c>
      <c r="X102" s="6" t="s">
        <v>45</v>
      </c>
      <c r="Y102" s="6" t="s">
        <v>46</v>
      </c>
      <c r="Z102" s="6" t="s">
        <v>45</v>
      </c>
      <c r="AA102" s="10" t="b">
        <v>0</v>
      </c>
      <c r="AB102" s="10" t="b">
        <v>0</v>
      </c>
      <c r="AC102" s="10" t="b">
        <v>1</v>
      </c>
      <c r="AD102" s="7"/>
      <c r="AE102" s="8">
        <v>0</v>
      </c>
      <c r="AF102" s="6" t="s">
        <v>45</v>
      </c>
      <c r="AG102" s="8">
        <v>0</v>
      </c>
      <c r="AH102" s="11"/>
      <c r="AI102" s="12">
        <v>0</v>
      </c>
    </row>
    <row r="103" spans="1:35" x14ac:dyDescent="0.35">
      <c r="A103" s="5" t="s">
        <v>404</v>
      </c>
      <c r="B103" s="6" t="s">
        <v>45</v>
      </c>
      <c r="C103" s="6" t="s">
        <v>152</v>
      </c>
      <c r="D103" s="6" t="s">
        <v>158</v>
      </c>
      <c r="E103" s="42" t="s">
        <v>2026</v>
      </c>
      <c r="F103" s="42" t="s">
        <v>1995</v>
      </c>
      <c r="G103" s="42" t="s">
        <v>1996</v>
      </c>
      <c r="H103" s="6" t="s">
        <v>405</v>
      </c>
      <c r="I103" s="6" t="s">
        <v>406</v>
      </c>
      <c r="J103" s="6" t="s">
        <v>142</v>
      </c>
      <c r="K103" s="6" t="s">
        <v>42</v>
      </c>
      <c r="L103" s="6" t="s">
        <v>52</v>
      </c>
      <c r="M103" s="7">
        <v>46153</v>
      </c>
      <c r="N103" s="8">
        <v>80998</v>
      </c>
      <c r="O103" s="9">
        <v>36</v>
      </c>
      <c r="P103" s="8">
        <v>551</v>
      </c>
      <c r="Q103" s="6" t="s">
        <v>126</v>
      </c>
      <c r="R103" s="6" t="s">
        <v>45</v>
      </c>
      <c r="S103" s="6" t="s">
        <v>45</v>
      </c>
      <c r="T103" s="6" t="s">
        <v>45</v>
      </c>
      <c r="U103" s="10">
        <v>1</v>
      </c>
      <c r="V103" s="6" t="s">
        <v>45</v>
      </c>
      <c r="W103" s="10">
        <v>0</v>
      </c>
      <c r="X103" s="6" t="s">
        <v>45</v>
      </c>
      <c r="Y103" s="6" t="s">
        <v>46</v>
      </c>
      <c r="Z103" s="6" t="s">
        <v>45</v>
      </c>
      <c r="AA103" s="10" t="b">
        <v>0</v>
      </c>
      <c r="AB103" s="10" t="b">
        <v>0</v>
      </c>
      <c r="AC103" s="10" t="b">
        <v>0</v>
      </c>
      <c r="AD103" s="7"/>
      <c r="AE103" s="8">
        <v>0</v>
      </c>
      <c r="AF103" s="6" t="s">
        <v>45</v>
      </c>
      <c r="AG103" s="8">
        <v>0</v>
      </c>
      <c r="AH103" s="11"/>
      <c r="AI103" s="12">
        <v>0</v>
      </c>
    </row>
    <row r="104" spans="1:35" x14ac:dyDescent="0.35">
      <c r="A104" s="5" t="s">
        <v>407</v>
      </c>
      <c r="B104" s="6" t="s">
        <v>45</v>
      </c>
      <c r="C104" s="6" t="s">
        <v>343</v>
      </c>
      <c r="D104" s="6" t="s">
        <v>408</v>
      </c>
      <c r="E104" s="42" t="s">
        <v>2046</v>
      </c>
      <c r="F104" s="42" t="s">
        <v>1995</v>
      </c>
      <c r="G104" s="42" t="s">
        <v>1996</v>
      </c>
      <c r="H104" s="6" t="s">
        <v>409</v>
      </c>
      <c r="I104" s="6" t="s">
        <v>410</v>
      </c>
      <c r="J104" s="6" t="s">
        <v>41</v>
      </c>
      <c r="K104" s="6" t="s">
        <v>42</v>
      </c>
      <c r="L104" s="6" t="s">
        <v>172</v>
      </c>
      <c r="M104" s="7">
        <v>46153</v>
      </c>
      <c r="N104" s="8">
        <v>0</v>
      </c>
      <c r="O104" s="9">
        <v>36</v>
      </c>
      <c r="P104" s="8">
        <v>0</v>
      </c>
      <c r="Q104" s="6" t="s">
        <v>44</v>
      </c>
      <c r="R104" s="6" t="s">
        <v>45</v>
      </c>
      <c r="S104" s="6" t="s">
        <v>45</v>
      </c>
      <c r="T104" s="6" t="s">
        <v>45</v>
      </c>
      <c r="U104" s="10">
        <v>1</v>
      </c>
      <c r="V104" s="6" t="s">
        <v>45</v>
      </c>
      <c r="W104" s="10">
        <v>0</v>
      </c>
      <c r="X104" s="6" t="s">
        <v>45</v>
      </c>
      <c r="Y104" s="6" t="s">
        <v>46</v>
      </c>
      <c r="Z104" s="6" t="s">
        <v>45</v>
      </c>
      <c r="AA104" s="10" t="b">
        <v>0</v>
      </c>
      <c r="AB104" s="10" t="b">
        <v>0</v>
      </c>
      <c r="AC104" s="10" t="b">
        <v>1</v>
      </c>
      <c r="AD104" s="7">
        <v>45788</v>
      </c>
      <c r="AE104" s="8">
        <v>0</v>
      </c>
      <c r="AF104" s="6" t="s">
        <v>411</v>
      </c>
      <c r="AG104" s="8">
        <v>0</v>
      </c>
      <c r="AH104" s="11"/>
      <c r="AI104" s="12">
        <v>0</v>
      </c>
    </row>
    <row r="105" spans="1:35" x14ac:dyDescent="0.35">
      <c r="A105" s="5" t="s">
        <v>412</v>
      </c>
      <c r="B105" s="6" t="s">
        <v>45</v>
      </c>
      <c r="C105" s="6" t="s">
        <v>343</v>
      </c>
      <c r="D105" s="6" t="s">
        <v>408</v>
      </c>
      <c r="E105" s="42" t="s">
        <v>2046</v>
      </c>
      <c r="F105" s="42" t="s">
        <v>1995</v>
      </c>
      <c r="G105" s="42" t="s">
        <v>1996</v>
      </c>
      <c r="H105" s="6" t="s">
        <v>413</v>
      </c>
      <c r="I105" s="6" t="s">
        <v>414</v>
      </c>
      <c r="J105" s="6" t="s">
        <v>41</v>
      </c>
      <c r="K105" s="6" t="s">
        <v>42</v>
      </c>
      <c r="L105" s="6" t="s">
        <v>172</v>
      </c>
      <c r="M105" s="7">
        <v>46153</v>
      </c>
      <c r="N105" s="8">
        <v>0</v>
      </c>
      <c r="O105" s="9">
        <v>36</v>
      </c>
      <c r="P105" s="8">
        <v>0</v>
      </c>
      <c r="Q105" s="6" t="s">
        <v>44</v>
      </c>
      <c r="R105" s="6" t="s">
        <v>45</v>
      </c>
      <c r="S105" s="6" t="s">
        <v>45</v>
      </c>
      <c r="T105" s="6" t="s">
        <v>45</v>
      </c>
      <c r="U105" s="10">
        <v>1</v>
      </c>
      <c r="V105" s="6" t="s">
        <v>45</v>
      </c>
      <c r="W105" s="10">
        <v>0</v>
      </c>
      <c r="X105" s="6" t="s">
        <v>45</v>
      </c>
      <c r="Y105" s="6" t="s">
        <v>46</v>
      </c>
      <c r="Z105" s="6" t="s">
        <v>45</v>
      </c>
      <c r="AA105" s="10" t="b">
        <v>0</v>
      </c>
      <c r="AB105" s="10" t="b">
        <v>0</v>
      </c>
      <c r="AC105" s="10" t="b">
        <v>1</v>
      </c>
      <c r="AD105" s="7">
        <v>45788</v>
      </c>
      <c r="AE105" s="8">
        <v>0</v>
      </c>
      <c r="AF105" s="6" t="s">
        <v>411</v>
      </c>
      <c r="AG105" s="8">
        <v>0</v>
      </c>
      <c r="AH105" s="11"/>
      <c r="AI105" s="12">
        <v>0</v>
      </c>
    </row>
    <row r="106" spans="1:35" x14ac:dyDescent="0.35">
      <c r="A106" s="5" t="s">
        <v>415</v>
      </c>
      <c r="B106" s="6" t="s">
        <v>45</v>
      </c>
      <c r="C106" s="6" t="s">
        <v>205</v>
      </c>
      <c r="D106" s="6" t="s">
        <v>265</v>
      </c>
      <c r="E106" s="42" t="s">
        <v>817</v>
      </c>
      <c r="F106" s="42" t="s">
        <v>2007</v>
      </c>
      <c r="G106" s="42" t="s">
        <v>2006</v>
      </c>
      <c r="H106" s="6" t="s">
        <v>45</v>
      </c>
      <c r="I106" s="6" t="s">
        <v>45</v>
      </c>
      <c r="J106" s="6" t="s">
        <v>206</v>
      </c>
      <c r="K106" s="6" t="s">
        <v>42</v>
      </c>
      <c r="L106" s="6" t="s">
        <v>52</v>
      </c>
      <c r="M106" s="7">
        <v>46153</v>
      </c>
      <c r="N106" s="8">
        <v>9752</v>
      </c>
      <c r="O106" s="9">
        <v>36</v>
      </c>
      <c r="P106" s="8">
        <v>221</v>
      </c>
      <c r="Q106" s="6" t="s">
        <v>109</v>
      </c>
      <c r="R106" s="6" t="s">
        <v>45</v>
      </c>
      <c r="S106" s="6" t="s">
        <v>45</v>
      </c>
      <c r="T106" s="6" t="s">
        <v>45</v>
      </c>
      <c r="U106" s="10">
        <v>1</v>
      </c>
      <c r="V106" s="6" t="s">
        <v>45</v>
      </c>
      <c r="W106" s="10">
        <v>0</v>
      </c>
      <c r="X106" s="6" t="s">
        <v>45</v>
      </c>
      <c r="Y106" s="6" t="s">
        <v>46</v>
      </c>
      <c r="Z106" s="6" t="s">
        <v>45</v>
      </c>
      <c r="AA106" s="10" t="b">
        <v>0</v>
      </c>
      <c r="AB106" s="10" t="b">
        <v>0</v>
      </c>
      <c r="AC106" s="10" t="b">
        <v>0</v>
      </c>
      <c r="AD106" s="7">
        <v>45516</v>
      </c>
      <c r="AE106" s="8">
        <v>4752</v>
      </c>
      <c r="AF106" s="6" t="s">
        <v>416</v>
      </c>
      <c r="AG106" s="8">
        <v>5221</v>
      </c>
      <c r="AH106" s="11"/>
      <c r="AI106" s="12">
        <v>0</v>
      </c>
    </row>
    <row r="107" spans="1:35" x14ac:dyDescent="0.35">
      <c r="A107" s="5" t="s">
        <v>417</v>
      </c>
      <c r="B107" s="6" t="s">
        <v>45</v>
      </c>
      <c r="C107" s="6" t="s">
        <v>205</v>
      </c>
      <c r="D107" s="6" t="s">
        <v>265</v>
      </c>
      <c r="E107" s="42" t="s">
        <v>817</v>
      </c>
      <c r="F107" s="42" t="s">
        <v>2007</v>
      </c>
      <c r="G107" s="42" t="s">
        <v>2006</v>
      </c>
      <c r="H107" s="6" t="s">
        <v>45</v>
      </c>
      <c r="I107" s="6" t="s">
        <v>45</v>
      </c>
      <c r="J107" s="6" t="s">
        <v>206</v>
      </c>
      <c r="K107" s="6" t="s">
        <v>42</v>
      </c>
      <c r="L107" s="6" t="s">
        <v>52</v>
      </c>
      <c r="M107" s="7">
        <v>46153</v>
      </c>
      <c r="N107" s="8">
        <v>9752</v>
      </c>
      <c r="O107" s="9">
        <v>36</v>
      </c>
      <c r="P107" s="8">
        <v>221</v>
      </c>
      <c r="Q107" s="6" t="s">
        <v>109</v>
      </c>
      <c r="R107" s="6" t="s">
        <v>45</v>
      </c>
      <c r="S107" s="6" t="s">
        <v>45</v>
      </c>
      <c r="T107" s="6" t="s">
        <v>45</v>
      </c>
      <c r="U107" s="10">
        <v>1</v>
      </c>
      <c r="V107" s="6" t="s">
        <v>45</v>
      </c>
      <c r="W107" s="10">
        <v>0</v>
      </c>
      <c r="X107" s="6" t="s">
        <v>45</v>
      </c>
      <c r="Y107" s="6" t="s">
        <v>46</v>
      </c>
      <c r="Z107" s="6" t="s">
        <v>45</v>
      </c>
      <c r="AA107" s="10" t="b">
        <v>0</v>
      </c>
      <c r="AB107" s="10" t="b">
        <v>0</v>
      </c>
      <c r="AC107" s="10" t="b">
        <v>0</v>
      </c>
      <c r="AD107" s="7">
        <v>45516</v>
      </c>
      <c r="AE107" s="8">
        <v>4752</v>
      </c>
      <c r="AF107" s="6" t="s">
        <v>416</v>
      </c>
      <c r="AG107" s="8">
        <v>5221</v>
      </c>
      <c r="AH107" s="11"/>
      <c r="AI107" s="12">
        <v>0</v>
      </c>
    </row>
    <row r="108" spans="1:35" x14ac:dyDescent="0.35">
      <c r="A108" s="5" t="s">
        <v>49</v>
      </c>
      <c r="B108" s="6" t="s">
        <v>45</v>
      </c>
      <c r="C108" s="6" t="s">
        <v>50</v>
      </c>
      <c r="D108" s="6" t="s">
        <v>51</v>
      </c>
      <c r="E108" s="42" t="s">
        <v>2029</v>
      </c>
      <c r="F108" s="42" t="s">
        <v>2007</v>
      </c>
      <c r="G108" s="42" t="s">
        <v>2006</v>
      </c>
      <c r="H108" s="6" t="s">
        <v>45</v>
      </c>
      <c r="I108" s="6" t="s">
        <v>45</v>
      </c>
      <c r="J108" s="6" t="s">
        <v>41</v>
      </c>
      <c r="K108" s="6" t="s">
        <v>42</v>
      </c>
      <c r="L108" s="6" t="s">
        <v>52</v>
      </c>
      <c r="M108" s="7">
        <v>46152</v>
      </c>
      <c r="N108" s="8">
        <v>0</v>
      </c>
      <c r="O108" s="9">
        <v>36</v>
      </c>
      <c r="P108" s="8">
        <v>0</v>
      </c>
      <c r="Q108" s="6" t="s">
        <v>44</v>
      </c>
      <c r="R108" s="6" t="s">
        <v>45</v>
      </c>
      <c r="S108" s="6" t="s">
        <v>45</v>
      </c>
      <c r="T108" s="6" t="s">
        <v>45</v>
      </c>
      <c r="U108" s="10">
        <v>1</v>
      </c>
      <c r="V108" s="6" t="s">
        <v>45</v>
      </c>
      <c r="W108" s="10">
        <v>0</v>
      </c>
      <c r="X108" s="6" t="s">
        <v>45</v>
      </c>
      <c r="Y108" s="6" t="s">
        <v>46</v>
      </c>
      <c r="Z108" s="6" t="s">
        <v>45</v>
      </c>
      <c r="AA108" s="10" t="b">
        <v>0</v>
      </c>
      <c r="AB108" s="10" t="b">
        <v>0</v>
      </c>
      <c r="AC108" s="10" t="b">
        <v>0</v>
      </c>
      <c r="AD108" s="7">
        <v>45787</v>
      </c>
      <c r="AE108" s="8">
        <v>0</v>
      </c>
      <c r="AF108" s="6" t="s">
        <v>53</v>
      </c>
      <c r="AG108" s="8">
        <v>0</v>
      </c>
      <c r="AH108" s="11"/>
      <c r="AI108" s="12">
        <v>0</v>
      </c>
    </row>
    <row r="109" spans="1:35" x14ac:dyDescent="0.35">
      <c r="A109" s="5" t="s">
        <v>418</v>
      </c>
      <c r="B109" s="6" t="s">
        <v>45</v>
      </c>
      <c r="C109" s="6" t="s">
        <v>89</v>
      </c>
      <c r="D109" s="6" t="s">
        <v>419</v>
      </c>
      <c r="E109" s="42" t="s">
        <v>2059</v>
      </c>
      <c r="F109" s="42" t="s">
        <v>2007</v>
      </c>
      <c r="G109" s="42" t="s">
        <v>2006</v>
      </c>
      <c r="H109" s="6" t="s">
        <v>45</v>
      </c>
      <c r="I109" s="6" t="s">
        <v>45</v>
      </c>
      <c r="J109" s="6" t="s">
        <v>93</v>
      </c>
      <c r="K109" s="6" t="s">
        <v>42</v>
      </c>
      <c r="L109" s="6" t="s">
        <v>52</v>
      </c>
      <c r="M109" s="7">
        <v>46154</v>
      </c>
      <c r="N109" s="8">
        <v>7650</v>
      </c>
      <c r="O109" s="9">
        <v>35</v>
      </c>
      <c r="P109" s="8">
        <v>253</v>
      </c>
      <c r="Q109" s="6" t="s">
        <v>94</v>
      </c>
      <c r="R109" s="6" t="s">
        <v>45</v>
      </c>
      <c r="S109" s="6" t="s">
        <v>45</v>
      </c>
      <c r="T109" s="6" t="s">
        <v>45</v>
      </c>
      <c r="U109" s="10">
        <v>1</v>
      </c>
      <c r="V109" s="6" t="s">
        <v>45</v>
      </c>
      <c r="W109" s="10">
        <v>0</v>
      </c>
      <c r="X109" s="6" t="s">
        <v>45</v>
      </c>
      <c r="Y109" s="6" t="s">
        <v>46</v>
      </c>
      <c r="Z109" s="6" t="s">
        <v>45</v>
      </c>
      <c r="AA109" s="10" t="b">
        <v>0</v>
      </c>
      <c r="AB109" s="10" t="b">
        <v>0</v>
      </c>
      <c r="AC109" s="10" t="b">
        <v>0</v>
      </c>
      <c r="AD109" s="7">
        <v>46101</v>
      </c>
      <c r="AE109" s="8">
        <v>7150</v>
      </c>
      <c r="AF109" s="6" t="s">
        <v>420</v>
      </c>
      <c r="AG109" s="8">
        <v>753</v>
      </c>
      <c r="AH109" s="11"/>
      <c r="AI109" s="12">
        <v>0</v>
      </c>
    </row>
    <row r="110" spans="1:35" x14ac:dyDescent="0.35">
      <c r="A110" s="5" t="s">
        <v>421</v>
      </c>
      <c r="B110" s="6" t="s">
        <v>45</v>
      </c>
      <c r="C110" s="6" t="s">
        <v>422</v>
      </c>
      <c r="D110" s="6" t="s">
        <v>124</v>
      </c>
      <c r="E110" s="42" t="s">
        <v>725</v>
      </c>
      <c r="F110" s="42" t="s">
        <v>2002</v>
      </c>
      <c r="G110" s="42" t="s">
        <v>1996</v>
      </c>
      <c r="H110" s="6" t="s">
        <v>45</v>
      </c>
      <c r="I110" s="6" t="s">
        <v>45</v>
      </c>
      <c r="J110" s="6" t="s">
        <v>423</v>
      </c>
      <c r="K110" s="6" t="s">
        <v>42</v>
      </c>
      <c r="L110" s="6" t="s">
        <v>52</v>
      </c>
      <c r="M110" s="7">
        <v>46155</v>
      </c>
      <c r="N110" s="8">
        <v>39169</v>
      </c>
      <c r="O110" s="9">
        <v>34</v>
      </c>
      <c r="P110" s="8">
        <v>193</v>
      </c>
      <c r="Q110" s="6" t="s">
        <v>76</v>
      </c>
      <c r="R110" s="6" t="s">
        <v>45</v>
      </c>
      <c r="S110" s="6" t="s">
        <v>45</v>
      </c>
      <c r="T110" s="6" t="s">
        <v>45</v>
      </c>
      <c r="U110" s="10">
        <v>1</v>
      </c>
      <c r="V110" s="6" t="s">
        <v>45</v>
      </c>
      <c r="W110" s="10">
        <v>0</v>
      </c>
      <c r="X110" s="6" t="s">
        <v>45</v>
      </c>
      <c r="Y110" s="6" t="s">
        <v>46</v>
      </c>
      <c r="Z110" s="6" t="s">
        <v>45</v>
      </c>
      <c r="AA110" s="10" t="b">
        <v>0</v>
      </c>
      <c r="AB110" s="10" t="b">
        <v>0</v>
      </c>
      <c r="AC110" s="10" t="b">
        <v>0</v>
      </c>
      <c r="AD110" s="7">
        <v>45913</v>
      </c>
      <c r="AE110" s="8">
        <v>35169</v>
      </c>
      <c r="AF110" s="6" t="s">
        <v>138</v>
      </c>
      <c r="AG110" s="8">
        <v>4193</v>
      </c>
      <c r="AH110" s="11"/>
      <c r="AI110" s="12">
        <v>0</v>
      </c>
    </row>
    <row r="111" spans="1:35" x14ac:dyDescent="0.35">
      <c r="A111" s="5" t="s">
        <v>424</v>
      </c>
      <c r="B111" s="6" t="s">
        <v>45</v>
      </c>
      <c r="C111" s="6" t="s">
        <v>343</v>
      </c>
      <c r="D111" s="6" t="s">
        <v>67</v>
      </c>
      <c r="E111" s="42" t="s">
        <v>1033</v>
      </c>
      <c r="F111" s="42" t="s">
        <v>1997</v>
      </c>
      <c r="G111" s="42" t="s">
        <v>1996</v>
      </c>
      <c r="H111" s="6" t="s">
        <v>425</v>
      </c>
      <c r="I111" s="6" t="s">
        <v>426</v>
      </c>
      <c r="J111" s="6" t="s">
        <v>41</v>
      </c>
      <c r="K111" s="6" t="s">
        <v>42</v>
      </c>
      <c r="L111" s="6" t="s">
        <v>172</v>
      </c>
      <c r="M111" s="7">
        <v>46155</v>
      </c>
      <c r="N111" s="8">
        <v>0</v>
      </c>
      <c r="O111" s="9">
        <v>34</v>
      </c>
      <c r="P111" s="8">
        <v>0</v>
      </c>
      <c r="Q111" s="6" t="s">
        <v>44</v>
      </c>
      <c r="R111" s="6" t="s">
        <v>45</v>
      </c>
      <c r="S111" s="6" t="s">
        <v>45</v>
      </c>
      <c r="T111" s="6" t="s">
        <v>45</v>
      </c>
      <c r="U111" s="10">
        <v>1</v>
      </c>
      <c r="V111" s="6" t="s">
        <v>45</v>
      </c>
      <c r="W111" s="10">
        <v>0</v>
      </c>
      <c r="X111" s="6" t="s">
        <v>45</v>
      </c>
      <c r="Y111" s="6" t="s">
        <v>46</v>
      </c>
      <c r="Z111" s="6" t="s">
        <v>45</v>
      </c>
      <c r="AA111" s="10" t="b">
        <v>0</v>
      </c>
      <c r="AB111" s="10" t="b">
        <v>0</v>
      </c>
      <c r="AC111" s="10" t="b">
        <v>1</v>
      </c>
      <c r="AD111" s="7">
        <v>45790</v>
      </c>
      <c r="AE111" s="8">
        <v>0</v>
      </c>
      <c r="AF111" s="6" t="s">
        <v>427</v>
      </c>
      <c r="AG111" s="8">
        <v>0</v>
      </c>
      <c r="AH111" s="11"/>
      <c r="AI111" s="12">
        <v>0</v>
      </c>
    </row>
    <row r="112" spans="1:35" x14ac:dyDescent="0.35">
      <c r="A112" s="5" t="s">
        <v>428</v>
      </c>
      <c r="B112" s="6" t="s">
        <v>45</v>
      </c>
      <c r="C112" s="6" t="s">
        <v>343</v>
      </c>
      <c r="D112" s="6" t="s">
        <v>67</v>
      </c>
      <c r="E112" s="42" t="s">
        <v>1033</v>
      </c>
      <c r="F112" s="42" t="s">
        <v>1997</v>
      </c>
      <c r="G112" s="42" t="s">
        <v>1996</v>
      </c>
      <c r="H112" s="6" t="s">
        <v>429</v>
      </c>
      <c r="I112" s="6" t="s">
        <v>430</v>
      </c>
      <c r="J112" s="6" t="s">
        <v>41</v>
      </c>
      <c r="K112" s="6" t="s">
        <v>42</v>
      </c>
      <c r="L112" s="6" t="s">
        <v>172</v>
      </c>
      <c r="M112" s="7">
        <v>46155</v>
      </c>
      <c r="N112" s="8">
        <v>0</v>
      </c>
      <c r="O112" s="9">
        <v>34</v>
      </c>
      <c r="P112" s="8">
        <v>0</v>
      </c>
      <c r="Q112" s="6" t="s">
        <v>44</v>
      </c>
      <c r="R112" s="6" t="s">
        <v>45</v>
      </c>
      <c r="S112" s="6" t="s">
        <v>45</v>
      </c>
      <c r="T112" s="6" t="s">
        <v>45</v>
      </c>
      <c r="U112" s="10">
        <v>1</v>
      </c>
      <c r="V112" s="6" t="s">
        <v>45</v>
      </c>
      <c r="W112" s="10">
        <v>0</v>
      </c>
      <c r="X112" s="6" t="s">
        <v>45</v>
      </c>
      <c r="Y112" s="6" t="s">
        <v>46</v>
      </c>
      <c r="Z112" s="6" t="s">
        <v>45</v>
      </c>
      <c r="AA112" s="10" t="b">
        <v>0</v>
      </c>
      <c r="AB112" s="10" t="b">
        <v>0</v>
      </c>
      <c r="AC112" s="10" t="b">
        <v>1</v>
      </c>
      <c r="AD112" s="7">
        <v>45790</v>
      </c>
      <c r="AE112" s="8">
        <v>0</v>
      </c>
      <c r="AF112" s="6" t="s">
        <v>427</v>
      </c>
      <c r="AG112" s="8">
        <v>0</v>
      </c>
      <c r="AH112" s="11"/>
      <c r="AI112" s="12">
        <v>0</v>
      </c>
    </row>
    <row r="113" spans="1:35" x14ac:dyDescent="0.35">
      <c r="A113" s="5" t="s">
        <v>431</v>
      </c>
      <c r="B113" s="6" t="s">
        <v>45</v>
      </c>
      <c r="C113" s="6" t="s">
        <v>432</v>
      </c>
      <c r="D113" s="6" t="s">
        <v>62</v>
      </c>
      <c r="E113" s="42" t="s">
        <v>2058</v>
      </c>
      <c r="F113" s="42" t="s">
        <v>2020</v>
      </c>
      <c r="G113" s="42" t="s">
        <v>2001</v>
      </c>
      <c r="H113" s="6" t="s">
        <v>45</v>
      </c>
      <c r="I113" s="6" t="s">
        <v>45</v>
      </c>
      <c r="J113" s="6" t="s">
        <v>114</v>
      </c>
      <c r="K113" s="6" t="s">
        <v>42</v>
      </c>
      <c r="L113" s="6" t="s">
        <v>52</v>
      </c>
      <c r="M113" s="7">
        <v>46156</v>
      </c>
      <c r="N113" s="8">
        <v>32375</v>
      </c>
      <c r="O113" s="9">
        <v>33</v>
      </c>
      <c r="P113" s="8">
        <v>382</v>
      </c>
      <c r="Q113" s="6" t="s">
        <v>126</v>
      </c>
      <c r="R113" s="6" t="s">
        <v>45</v>
      </c>
      <c r="S113" s="6" t="s">
        <v>45</v>
      </c>
      <c r="T113" s="6" t="s">
        <v>45</v>
      </c>
      <c r="U113" s="10">
        <v>1</v>
      </c>
      <c r="V113" s="6" t="s">
        <v>45</v>
      </c>
      <c r="W113" s="10">
        <v>0</v>
      </c>
      <c r="X113" s="6" t="s">
        <v>45</v>
      </c>
      <c r="Y113" s="6" t="s">
        <v>46</v>
      </c>
      <c r="Z113" s="6" t="s">
        <v>45</v>
      </c>
      <c r="AA113" s="10" t="b">
        <v>0</v>
      </c>
      <c r="AB113" s="10" t="b">
        <v>0</v>
      </c>
      <c r="AC113" s="10" t="b">
        <v>0</v>
      </c>
      <c r="AD113" s="7">
        <v>45596</v>
      </c>
      <c r="AE113" s="8">
        <v>24375</v>
      </c>
      <c r="AF113" s="6" t="s">
        <v>433</v>
      </c>
      <c r="AG113" s="8">
        <v>8382</v>
      </c>
      <c r="AH113" s="11"/>
      <c r="AI113" s="12">
        <v>0</v>
      </c>
    </row>
    <row r="114" spans="1:35" x14ac:dyDescent="0.35">
      <c r="A114" s="5" t="s">
        <v>434</v>
      </c>
      <c r="B114" s="6" t="s">
        <v>45</v>
      </c>
      <c r="C114" s="6" t="s">
        <v>432</v>
      </c>
      <c r="D114" s="6" t="s">
        <v>62</v>
      </c>
      <c r="E114" s="42" t="s">
        <v>2058</v>
      </c>
      <c r="F114" s="42" t="s">
        <v>2020</v>
      </c>
      <c r="G114" s="42" t="s">
        <v>2001</v>
      </c>
      <c r="H114" s="6" t="s">
        <v>45</v>
      </c>
      <c r="I114" s="6" t="s">
        <v>45</v>
      </c>
      <c r="J114" s="6" t="s">
        <v>114</v>
      </c>
      <c r="K114" s="6" t="s">
        <v>42</v>
      </c>
      <c r="L114" s="6" t="s">
        <v>52</v>
      </c>
      <c r="M114" s="7">
        <v>46156</v>
      </c>
      <c r="N114" s="8">
        <v>32375</v>
      </c>
      <c r="O114" s="9">
        <v>33</v>
      </c>
      <c r="P114" s="8">
        <v>382</v>
      </c>
      <c r="Q114" s="6" t="s">
        <v>126</v>
      </c>
      <c r="R114" s="6" t="s">
        <v>45</v>
      </c>
      <c r="S114" s="6" t="s">
        <v>45</v>
      </c>
      <c r="T114" s="6" t="s">
        <v>45</v>
      </c>
      <c r="U114" s="10">
        <v>1</v>
      </c>
      <c r="V114" s="6" t="s">
        <v>45</v>
      </c>
      <c r="W114" s="10">
        <v>0</v>
      </c>
      <c r="X114" s="6" t="s">
        <v>45</v>
      </c>
      <c r="Y114" s="6" t="s">
        <v>46</v>
      </c>
      <c r="Z114" s="6" t="s">
        <v>45</v>
      </c>
      <c r="AA114" s="10" t="b">
        <v>0</v>
      </c>
      <c r="AB114" s="10" t="b">
        <v>0</v>
      </c>
      <c r="AC114" s="10" t="b">
        <v>0</v>
      </c>
      <c r="AD114" s="7">
        <v>45596</v>
      </c>
      <c r="AE114" s="8">
        <v>24375</v>
      </c>
      <c r="AF114" s="6" t="s">
        <v>433</v>
      </c>
      <c r="AG114" s="8">
        <v>8382</v>
      </c>
      <c r="AH114" s="11"/>
      <c r="AI114" s="12">
        <v>0</v>
      </c>
    </row>
    <row r="115" spans="1:35" x14ac:dyDescent="0.35">
      <c r="A115" s="5" t="s">
        <v>435</v>
      </c>
      <c r="B115" s="6" t="s">
        <v>45</v>
      </c>
      <c r="C115" s="6" t="s">
        <v>436</v>
      </c>
      <c r="D115" s="6" t="s">
        <v>62</v>
      </c>
      <c r="E115" s="42" t="s">
        <v>2058</v>
      </c>
      <c r="F115" s="42" t="s">
        <v>2020</v>
      </c>
      <c r="G115" s="42" t="s">
        <v>2001</v>
      </c>
      <c r="H115" s="6" t="s">
        <v>45</v>
      </c>
      <c r="I115" s="6" t="s">
        <v>45</v>
      </c>
      <c r="J115" s="6" t="s">
        <v>99</v>
      </c>
      <c r="K115" s="6" t="s">
        <v>42</v>
      </c>
      <c r="L115" s="6" t="s">
        <v>52</v>
      </c>
      <c r="M115" s="7">
        <v>46156</v>
      </c>
      <c r="N115" s="8">
        <v>0</v>
      </c>
      <c r="O115" s="9">
        <v>33</v>
      </c>
      <c r="P115" s="8">
        <v>0</v>
      </c>
      <c r="Q115" s="6" t="s">
        <v>126</v>
      </c>
      <c r="R115" s="6" t="s">
        <v>45</v>
      </c>
      <c r="S115" s="6" t="s">
        <v>45</v>
      </c>
      <c r="T115" s="6" t="s">
        <v>45</v>
      </c>
      <c r="U115" s="10">
        <v>1</v>
      </c>
      <c r="V115" s="6" t="s">
        <v>45</v>
      </c>
      <c r="W115" s="10">
        <v>0</v>
      </c>
      <c r="X115" s="6" t="s">
        <v>45</v>
      </c>
      <c r="Y115" s="6" t="s">
        <v>46</v>
      </c>
      <c r="Z115" s="6" t="s">
        <v>45</v>
      </c>
      <c r="AA115" s="10" t="b">
        <v>0</v>
      </c>
      <c r="AB115" s="10" t="b">
        <v>0</v>
      </c>
      <c r="AC115" s="10" t="b">
        <v>0</v>
      </c>
      <c r="AD115" s="7">
        <v>46126</v>
      </c>
      <c r="AE115" s="8">
        <v>0</v>
      </c>
      <c r="AF115" s="6" t="s">
        <v>437</v>
      </c>
      <c r="AG115" s="8">
        <v>0</v>
      </c>
      <c r="AH115" s="11"/>
      <c r="AI115" s="12">
        <v>0</v>
      </c>
    </row>
    <row r="116" spans="1:35" x14ac:dyDescent="0.35">
      <c r="A116" s="5" t="s">
        <v>438</v>
      </c>
      <c r="B116" s="6" t="s">
        <v>45</v>
      </c>
      <c r="C116" s="6" t="s">
        <v>439</v>
      </c>
      <c r="D116" s="6" t="s">
        <v>280</v>
      </c>
      <c r="E116" s="42" t="s">
        <v>2031</v>
      </c>
      <c r="F116" s="42" t="s">
        <v>2005</v>
      </c>
      <c r="G116" s="42" t="s">
        <v>2006</v>
      </c>
      <c r="H116" s="6" t="s">
        <v>440</v>
      </c>
      <c r="I116" s="6" t="s">
        <v>441</v>
      </c>
      <c r="J116" s="6" t="s">
        <v>442</v>
      </c>
      <c r="K116" s="6" t="s">
        <v>42</v>
      </c>
      <c r="L116" s="6" t="s">
        <v>52</v>
      </c>
      <c r="M116" s="7">
        <v>46156</v>
      </c>
      <c r="N116" s="8">
        <v>0</v>
      </c>
      <c r="O116" s="9">
        <v>33</v>
      </c>
      <c r="P116" s="8">
        <v>0</v>
      </c>
      <c r="Q116" s="6" t="s">
        <v>58</v>
      </c>
      <c r="R116" s="6" t="s">
        <v>45</v>
      </c>
      <c r="S116" s="6" t="s">
        <v>45</v>
      </c>
      <c r="T116" s="6" t="s">
        <v>45</v>
      </c>
      <c r="U116" s="10">
        <v>1</v>
      </c>
      <c r="V116" s="6" t="s">
        <v>45</v>
      </c>
      <c r="W116" s="10">
        <v>0</v>
      </c>
      <c r="X116" s="6" t="s">
        <v>45</v>
      </c>
      <c r="Y116" s="6" t="s">
        <v>46</v>
      </c>
      <c r="Z116" s="6" t="s">
        <v>45</v>
      </c>
      <c r="AA116" s="10" t="b">
        <v>0</v>
      </c>
      <c r="AB116" s="10" t="b">
        <v>0</v>
      </c>
      <c r="AC116" s="10" t="b">
        <v>0</v>
      </c>
      <c r="AD116" s="7"/>
      <c r="AE116" s="8">
        <v>0</v>
      </c>
      <c r="AF116" s="6" t="s">
        <v>45</v>
      </c>
      <c r="AG116" s="8">
        <v>0</v>
      </c>
      <c r="AH116" s="11"/>
      <c r="AI116" s="12">
        <v>0</v>
      </c>
    </row>
    <row r="117" spans="1:35" x14ac:dyDescent="0.35">
      <c r="A117" s="5" t="s">
        <v>443</v>
      </c>
      <c r="B117" s="6" t="s">
        <v>45</v>
      </c>
      <c r="C117" s="6" t="s">
        <v>444</v>
      </c>
      <c r="D117" s="6" t="s">
        <v>280</v>
      </c>
      <c r="E117" s="42" t="s">
        <v>2031</v>
      </c>
      <c r="F117" s="42" t="s">
        <v>2005</v>
      </c>
      <c r="G117" s="42" t="s">
        <v>2006</v>
      </c>
      <c r="H117" s="6" t="s">
        <v>445</v>
      </c>
      <c r="I117" s="6" t="s">
        <v>446</v>
      </c>
      <c r="J117" s="6" t="s">
        <v>442</v>
      </c>
      <c r="K117" s="6" t="s">
        <v>42</v>
      </c>
      <c r="L117" s="6" t="s">
        <v>52</v>
      </c>
      <c r="M117" s="7">
        <v>46156</v>
      </c>
      <c r="N117" s="8">
        <v>0</v>
      </c>
      <c r="O117" s="9">
        <v>33</v>
      </c>
      <c r="P117" s="8">
        <v>0</v>
      </c>
      <c r="Q117" s="6" t="s">
        <v>126</v>
      </c>
      <c r="R117" s="6" t="s">
        <v>45</v>
      </c>
      <c r="S117" s="6" t="s">
        <v>45</v>
      </c>
      <c r="T117" s="6" t="s">
        <v>45</v>
      </c>
      <c r="U117" s="10">
        <v>1</v>
      </c>
      <c r="V117" s="6" t="s">
        <v>45</v>
      </c>
      <c r="W117" s="10">
        <v>0</v>
      </c>
      <c r="X117" s="6" t="s">
        <v>45</v>
      </c>
      <c r="Y117" s="6" t="s">
        <v>46</v>
      </c>
      <c r="Z117" s="6" t="s">
        <v>45</v>
      </c>
      <c r="AA117" s="10" t="b">
        <v>0</v>
      </c>
      <c r="AB117" s="10" t="b">
        <v>0</v>
      </c>
      <c r="AC117" s="10" t="b">
        <v>0</v>
      </c>
      <c r="AD117" s="7"/>
      <c r="AE117" s="8">
        <v>0</v>
      </c>
      <c r="AF117" s="6" t="s">
        <v>45</v>
      </c>
      <c r="AG117" s="8">
        <v>0</v>
      </c>
      <c r="AH117" s="11"/>
      <c r="AI117" s="12">
        <v>0</v>
      </c>
    </row>
    <row r="118" spans="1:35" x14ac:dyDescent="0.35">
      <c r="A118" s="5" t="s">
        <v>447</v>
      </c>
      <c r="B118" s="6" t="s">
        <v>45</v>
      </c>
      <c r="C118" s="6" t="s">
        <v>448</v>
      </c>
      <c r="D118" s="6" t="s">
        <v>280</v>
      </c>
      <c r="E118" s="42" t="s">
        <v>2031</v>
      </c>
      <c r="F118" s="42" t="s">
        <v>2005</v>
      </c>
      <c r="G118" s="42" t="s">
        <v>2006</v>
      </c>
      <c r="H118" s="6" t="s">
        <v>449</v>
      </c>
      <c r="I118" s="6" t="s">
        <v>450</v>
      </c>
      <c r="J118" s="6" t="s">
        <v>442</v>
      </c>
      <c r="K118" s="6" t="s">
        <v>42</v>
      </c>
      <c r="L118" s="6" t="s">
        <v>52</v>
      </c>
      <c r="M118" s="7">
        <v>46156</v>
      </c>
      <c r="N118" s="8">
        <v>0</v>
      </c>
      <c r="O118" s="9">
        <v>33</v>
      </c>
      <c r="P118" s="8">
        <v>0</v>
      </c>
      <c r="Q118" s="6" t="s">
        <v>126</v>
      </c>
      <c r="R118" s="6" t="s">
        <v>45</v>
      </c>
      <c r="S118" s="6" t="s">
        <v>45</v>
      </c>
      <c r="T118" s="6" t="s">
        <v>45</v>
      </c>
      <c r="U118" s="10">
        <v>1</v>
      </c>
      <c r="V118" s="6" t="s">
        <v>45</v>
      </c>
      <c r="W118" s="10">
        <v>0</v>
      </c>
      <c r="X118" s="6" t="s">
        <v>45</v>
      </c>
      <c r="Y118" s="6" t="s">
        <v>46</v>
      </c>
      <c r="Z118" s="6" t="s">
        <v>45</v>
      </c>
      <c r="AA118" s="10" t="b">
        <v>0</v>
      </c>
      <c r="AB118" s="10" t="b">
        <v>0</v>
      </c>
      <c r="AC118" s="10" t="b">
        <v>0</v>
      </c>
      <c r="AD118" s="7"/>
      <c r="AE118" s="8">
        <v>0</v>
      </c>
      <c r="AF118" s="6" t="s">
        <v>45</v>
      </c>
      <c r="AG118" s="8">
        <v>0</v>
      </c>
      <c r="AH118" s="11"/>
      <c r="AI118" s="12">
        <v>0</v>
      </c>
    </row>
    <row r="119" spans="1:35" x14ac:dyDescent="0.35">
      <c r="A119" s="5" t="s">
        <v>451</v>
      </c>
      <c r="B119" s="6" t="s">
        <v>45</v>
      </c>
      <c r="C119" s="6" t="s">
        <v>452</v>
      </c>
      <c r="D119" s="6" t="s">
        <v>280</v>
      </c>
      <c r="E119" s="42" t="s">
        <v>2031</v>
      </c>
      <c r="F119" s="42" t="s">
        <v>2005</v>
      </c>
      <c r="G119" s="42" t="s">
        <v>2006</v>
      </c>
      <c r="H119" s="6" t="s">
        <v>453</v>
      </c>
      <c r="I119" s="6" t="s">
        <v>454</v>
      </c>
      <c r="J119" s="6" t="s">
        <v>442</v>
      </c>
      <c r="K119" s="6" t="s">
        <v>42</v>
      </c>
      <c r="L119" s="6" t="s">
        <v>52</v>
      </c>
      <c r="M119" s="7">
        <v>46156</v>
      </c>
      <c r="N119" s="8">
        <v>0</v>
      </c>
      <c r="O119" s="9">
        <v>33</v>
      </c>
      <c r="P119" s="8">
        <v>0</v>
      </c>
      <c r="Q119" s="6" t="s">
        <v>126</v>
      </c>
      <c r="R119" s="6" t="s">
        <v>45</v>
      </c>
      <c r="S119" s="6" t="s">
        <v>45</v>
      </c>
      <c r="T119" s="6" t="s">
        <v>45</v>
      </c>
      <c r="U119" s="10">
        <v>1</v>
      </c>
      <c r="V119" s="6" t="s">
        <v>45</v>
      </c>
      <c r="W119" s="10">
        <v>0</v>
      </c>
      <c r="X119" s="6" t="s">
        <v>45</v>
      </c>
      <c r="Y119" s="6" t="s">
        <v>46</v>
      </c>
      <c r="Z119" s="6" t="s">
        <v>45</v>
      </c>
      <c r="AA119" s="10" t="b">
        <v>0</v>
      </c>
      <c r="AB119" s="10" t="b">
        <v>0</v>
      </c>
      <c r="AC119" s="10" t="b">
        <v>0</v>
      </c>
      <c r="AD119" s="7"/>
      <c r="AE119" s="8">
        <v>0</v>
      </c>
      <c r="AF119" s="6" t="s">
        <v>45</v>
      </c>
      <c r="AG119" s="8">
        <v>0</v>
      </c>
      <c r="AH119" s="11"/>
      <c r="AI119" s="12">
        <v>0</v>
      </c>
    </row>
    <row r="120" spans="1:35" x14ac:dyDescent="0.35">
      <c r="A120" s="5" t="s">
        <v>455</v>
      </c>
      <c r="B120" s="6" t="s">
        <v>45</v>
      </c>
      <c r="C120" s="6" t="s">
        <v>456</v>
      </c>
      <c r="D120" s="6" t="s">
        <v>280</v>
      </c>
      <c r="E120" s="42" t="s">
        <v>2031</v>
      </c>
      <c r="F120" s="42" t="s">
        <v>2005</v>
      </c>
      <c r="G120" s="42" t="s">
        <v>2006</v>
      </c>
      <c r="H120" s="6" t="s">
        <v>457</v>
      </c>
      <c r="I120" s="6" t="s">
        <v>458</v>
      </c>
      <c r="J120" s="6" t="s">
        <v>442</v>
      </c>
      <c r="K120" s="6" t="s">
        <v>42</v>
      </c>
      <c r="L120" s="6" t="s">
        <v>52</v>
      </c>
      <c r="M120" s="7">
        <v>46156</v>
      </c>
      <c r="N120" s="8">
        <v>0</v>
      </c>
      <c r="O120" s="9">
        <v>33</v>
      </c>
      <c r="P120" s="8">
        <v>0</v>
      </c>
      <c r="Q120" s="6" t="s">
        <v>44</v>
      </c>
      <c r="R120" s="6" t="s">
        <v>45</v>
      </c>
      <c r="S120" s="6" t="s">
        <v>45</v>
      </c>
      <c r="T120" s="6" t="s">
        <v>45</v>
      </c>
      <c r="U120" s="10">
        <v>1</v>
      </c>
      <c r="V120" s="6" t="s">
        <v>45</v>
      </c>
      <c r="W120" s="10">
        <v>0</v>
      </c>
      <c r="X120" s="6" t="s">
        <v>45</v>
      </c>
      <c r="Y120" s="6" t="s">
        <v>46</v>
      </c>
      <c r="Z120" s="6" t="s">
        <v>45</v>
      </c>
      <c r="AA120" s="10" t="b">
        <v>0</v>
      </c>
      <c r="AB120" s="10" t="b">
        <v>0</v>
      </c>
      <c r="AC120" s="10" t="b">
        <v>0</v>
      </c>
      <c r="AD120" s="7"/>
      <c r="AE120" s="8">
        <v>0</v>
      </c>
      <c r="AF120" s="6" t="s">
        <v>45</v>
      </c>
      <c r="AG120" s="8">
        <v>0</v>
      </c>
      <c r="AH120" s="11"/>
      <c r="AI120" s="12">
        <v>0</v>
      </c>
    </row>
    <row r="121" spans="1:35" x14ac:dyDescent="0.35">
      <c r="A121" s="5" t="s">
        <v>459</v>
      </c>
      <c r="B121" s="6" t="s">
        <v>45</v>
      </c>
      <c r="C121" s="6" t="s">
        <v>456</v>
      </c>
      <c r="D121" s="6" t="s">
        <v>280</v>
      </c>
      <c r="E121" s="42" t="s">
        <v>2031</v>
      </c>
      <c r="F121" s="42" t="s">
        <v>2005</v>
      </c>
      <c r="G121" s="42" t="s">
        <v>2006</v>
      </c>
      <c r="H121" s="6" t="s">
        <v>460</v>
      </c>
      <c r="I121" s="6" t="s">
        <v>461</v>
      </c>
      <c r="J121" s="6" t="s">
        <v>442</v>
      </c>
      <c r="K121" s="6" t="s">
        <v>42</v>
      </c>
      <c r="L121" s="6" t="s">
        <v>52</v>
      </c>
      <c r="M121" s="7">
        <v>46156</v>
      </c>
      <c r="N121" s="8">
        <v>0</v>
      </c>
      <c r="O121" s="9">
        <v>33</v>
      </c>
      <c r="P121" s="8">
        <v>0</v>
      </c>
      <c r="Q121" s="6" t="s">
        <v>44</v>
      </c>
      <c r="R121" s="6" t="s">
        <v>45</v>
      </c>
      <c r="S121" s="6" t="s">
        <v>45</v>
      </c>
      <c r="T121" s="6" t="s">
        <v>45</v>
      </c>
      <c r="U121" s="10">
        <v>1</v>
      </c>
      <c r="V121" s="6" t="s">
        <v>45</v>
      </c>
      <c r="W121" s="10">
        <v>0</v>
      </c>
      <c r="X121" s="6" t="s">
        <v>45</v>
      </c>
      <c r="Y121" s="6" t="s">
        <v>46</v>
      </c>
      <c r="Z121" s="6" t="s">
        <v>45</v>
      </c>
      <c r="AA121" s="10" t="b">
        <v>0</v>
      </c>
      <c r="AB121" s="10" t="b">
        <v>0</v>
      </c>
      <c r="AC121" s="10" t="b">
        <v>0</v>
      </c>
      <c r="AD121" s="7"/>
      <c r="AE121" s="8">
        <v>0</v>
      </c>
      <c r="AF121" s="6" t="s">
        <v>45</v>
      </c>
      <c r="AG121" s="8">
        <v>0</v>
      </c>
      <c r="AH121" s="11"/>
      <c r="AI121" s="12">
        <v>0</v>
      </c>
    </row>
    <row r="122" spans="1:35" x14ac:dyDescent="0.35">
      <c r="A122" s="5" t="s">
        <v>462</v>
      </c>
      <c r="B122" s="6" t="s">
        <v>45</v>
      </c>
      <c r="C122" s="6" t="s">
        <v>272</v>
      </c>
      <c r="D122" s="6" t="s">
        <v>463</v>
      </c>
      <c r="E122" s="42" t="s">
        <v>2045</v>
      </c>
      <c r="F122" s="42" t="s">
        <v>2008</v>
      </c>
      <c r="G122" s="42" t="s">
        <v>1996</v>
      </c>
      <c r="H122" s="6" t="s">
        <v>45</v>
      </c>
      <c r="I122" s="6" t="s">
        <v>45</v>
      </c>
      <c r="J122" s="6" t="s">
        <v>41</v>
      </c>
      <c r="K122" s="6" t="s">
        <v>42</v>
      </c>
      <c r="L122" s="6" t="s">
        <v>52</v>
      </c>
      <c r="M122" s="7">
        <v>46156</v>
      </c>
      <c r="N122" s="8">
        <v>0</v>
      </c>
      <c r="O122" s="9">
        <v>33</v>
      </c>
      <c r="P122" s="8">
        <v>0</v>
      </c>
      <c r="Q122" s="6" t="s">
        <v>58</v>
      </c>
      <c r="R122" s="6" t="s">
        <v>45</v>
      </c>
      <c r="S122" s="6" t="s">
        <v>45</v>
      </c>
      <c r="T122" s="6" t="s">
        <v>45</v>
      </c>
      <c r="U122" s="10">
        <v>1</v>
      </c>
      <c r="V122" s="6" t="s">
        <v>45</v>
      </c>
      <c r="W122" s="10">
        <v>0</v>
      </c>
      <c r="X122" s="6" t="s">
        <v>45</v>
      </c>
      <c r="Y122" s="6" t="s">
        <v>46</v>
      </c>
      <c r="Z122" s="6" t="s">
        <v>45</v>
      </c>
      <c r="AA122" s="10" t="b">
        <v>0</v>
      </c>
      <c r="AB122" s="10" t="b">
        <v>0</v>
      </c>
      <c r="AC122" s="10" t="b">
        <v>0</v>
      </c>
      <c r="AD122" s="7">
        <v>45791</v>
      </c>
      <c r="AE122" s="8">
        <v>0</v>
      </c>
      <c r="AF122" s="6" t="s">
        <v>464</v>
      </c>
      <c r="AG122" s="8">
        <v>0</v>
      </c>
      <c r="AH122" s="11"/>
      <c r="AI122" s="12">
        <v>0</v>
      </c>
    </row>
    <row r="123" spans="1:35" x14ac:dyDescent="0.35">
      <c r="A123" s="5" t="s">
        <v>465</v>
      </c>
      <c r="B123" s="6" t="s">
        <v>45</v>
      </c>
      <c r="C123" s="6" t="s">
        <v>343</v>
      </c>
      <c r="D123" s="6" t="s">
        <v>67</v>
      </c>
      <c r="E123" s="42" t="s">
        <v>1033</v>
      </c>
      <c r="F123" s="42" t="s">
        <v>1997</v>
      </c>
      <c r="G123" s="42" t="s">
        <v>1996</v>
      </c>
      <c r="H123" s="6" t="s">
        <v>45</v>
      </c>
      <c r="I123" s="6" t="s">
        <v>45</v>
      </c>
      <c r="J123" s="6" t="s">
        <v>41</v>
      </c>
      <c r="K123" s="6" t="s">
        <v>42</v>
      </c>
      <c r="L123" s="6" t="s">
        <v>52</v>
      </c>
      <c r="M123" s="7">
        <v>46157</v>
      </c>
      <c r="N123" s="8">
        <v>0</v>
      </c>
      <c r="O123" s="9">
        <v>32</v>
      </c>
      <c r="P123" s="8">
        <v>0</v>
      </c>
      <c r="Q123" s="6" t="s">
        <v>44</v>
      </c>
      <c r="R123" s="6" t="s">
        <v>45</v>
      </c>
      <c r="S123" s="6" t="s">
        <v>45</v>
      </c>
      <c r="T123" s="6" t="s">
        <v>45</v>
      </c>
      <c r="U123" s="10">
        <v>1</v>
      </c>
      <c r="V123" s="6" t="s">
        <v>45</v>
      </c>
      <c r="W123" s="10">
        <v>0</v>
      </c>
      <c r="X123" s="6" t="s">
        <v>45</v>
      </c>
      <c r="Y123" s="6" t="s">
        <v>46</v>
      </c>
      <c r="Z123" s="6" t="s">
        <v>45</v>
      </c>
      <c r="AA123" s="10" t="b">
        <v>0</v>
      </c>
      <c r="AB123" s="10" t="b">
        <v>0</v>
      </c>
      <c r="AC123" s="10" t="b">
        <v>0</v>
      </c>
      <c r="AD123" s="7">
        <v>45792</v>
      </c>
      <c r="AE123" s="8">
        <v>0</v>
      </c>
      <c r="AF123" s="6" t="s">
        <v>466</v>
      </c>
      <c r="AG123" s="8">
        <v>0</v>
      </c>
      <c r="AH123" s="11"/>
      <c r="AI123" s="12">
        <v>0</v>
      </c>
    </row>
    <row r="124" spans="1:35" x14ac:dyDescent="0.35">
      <c r="A124" s="5" t="s">
        <v>467</v>
      </c>
      <c r="B124" s="6" t="s">
        <v>45</v>
      </c>
      <c r="C124" s="6" t="s">
        <v>343</v>
      </c>
      <c r="D124" s="6" t="s">
        <v>67</v>
      </c>
      <c r="E124" s="42" t="s">
        <v>1033</v>
      </c>
      <c r="F124" s="42" t="s">
        <v>1997</v>
      </c>
      <c r="G124" s="42" t="s">
        <v>1996</v>
      </c>
      <c r="H124" s="6" t="s">
        <v>45</v>
      </c>
      <c r="I124" s="6" t="s">
        <v>45</v>
      </c>
      <c r="J124" s="6" t="s">
        <v>41</v>
      </c>
      <c r="K124" s="6" t="s">
        <v>42</v>
      </c>
      <c r="L124" s="6" t="s">
        <v>52</v>
      </c>
      <c r="M124" s="7">
        <v>46157</v>
      </c>
      <c r="N124" s="8">
        <v>0</v>
      </c>
      <c r="O124" s="9">
        <v>32</v>
      </c>
      <c r="P124" s="8">
        <v>0</v>
      </c>
      <c r="Q124" s="6" t="s">
        <v>44</v>
      </c>
      <c r="R124" s="6" t="s">
        <v>45</v>
      </c>
      <c r="S124" s="6" t="s">
        <v>45</v>
      </c>
      <c r="T124" s="6" t="s">
        <v>45</v>
      </c>
      <c r="U124" s="10">
        <v>1</v>
      </c>
      <c r="V124" s="6" t="s">
        <v>45</v>
      </c>
      <c r="W124" s="10">
        <v>0</v>
      </c>
      <c r="X124" s="6" t="s">
        <v>45</v>
      </c>
      <c r="Y124" s="6" t="s">
        <v>46</v>
      </c>
      <c r="Z124" s="6" t="s">
        <v>45</v>
      </c>
      <c r="AA124" s="10" t="b">
        <v>0</v>
      </c>
      <c r="AB124" s="10" t="b">
        <v>0</v>
      </c>
      <c r="AC124" s="10" t="b">
        <v>0</v>
      </c>
      <c r="AD124" s="7">
        <v>45792</v>
      </c>
      <c r="AE124" s="8">
        <v>0</v>
      </c>
      <c r="AF124" s="6" t="s">
        <v>466</v>
      </c>
      <c r="AG124" s="8">
        <v>0</v>
      </c>
      <c r="AH124" s="11"/>
      <c r="AI124" s="12">
        <v>0</v>
      </c>
    </row>
    <row r="125" spans="1:35" x14ac:dyDescent="0.35">
      <c r="A125" s="5" t="s">
        <v>468</v>
      </c>
      <c r="B125" s="6" t="s">
        <v>45</v>
      </c>
      <c r="C125" s="6" t="s">
        <v>239</v>
      </c>
      <c r="D125" s="6" t="s">
        <v>402</v>
      </c>
      <c r="E125" s="42" t="s">
        <v>2052</v>
      </c>
      <c r="F125" s="42" t="s">
        <v>1998</v>
      </c>
      <c r="G125" s="42" t="s">
        <v>1999</v>
      </c>
      <c r="H125" s="6" t="s">
        <v>45</v>
      </c>
      <c r="I125" s="6" t="s">
        <v>45</v>
      </c>
      <c r="J125" s="6" t="s">
        <v>41</v>
      </c>
      <c r="K125" s="6" t="s">
        <v>42</v>
      </c>
      <c r="L125" s="6" t="s">
        <v>52</v>
      </c>
      <c r="M125" s="7">
        <v>46157</v>
      </c>
      <c r="N125" s="8">
        <v>0</v>
      </c>
      <c r="O125" s="9">
        <v>32</v>
      </c>
      <c r="P125" s="8">
        <v>0</v>
      </c>
      <c r="Q125" s="6" t="s">
        <v>44</v>
      </c>
      <c r="R125" s="6" t="s">
        <v>45</v>
      </c>
      <c r="S125" s="6" t="s">
        <v>45</v>
      </c>
      <c r="T125" s="6" t="s">
        <v>45</v>
      </c>
      <c r="U125" s="10">
        <v>1</v>
      </c>
      <c r="V125" s="6" t="s">
        <v>45</v>
      </c>
      <c r="W125" s="10">
        <v>0</v>
      </c>
      <c r="X125" s="6" t="s">
        <v>45</v>
      </c>
      <c r="Y125" s="6" t="s">
        <v>46</v>
      </c>
      <c r="Z125" s="6" t="s">
        <v>45</v>
      </c>
      <c r="AA125" s="10" t="b">
        <v>0</v>
      </c>
      <c r="AB125" s="10" t="b">
        <v>0</v>
      </c>
      <c r="AC125" s="10" t="b">
        <v>1</v>
      </c>
      <c r="AD125" s="7"/>
      <c r="AE125" s="8">
        <v>0</v>
      </c>
      <c r="AF125" s="6" t="s">
        <v>45</v>
      </c>
      <c r="AG125" s="8">
        <v>0</v>
      </c>
      <c r="AH125" s="11"/>
      <c r="AI125" s="12">
        <v>0</v>
      </c>
    </row>
    <row r="126" spans="1:35" x14ac:dyDescent="0.35">
      <c r="A126" s="5" t="s">
        <v>469</v>
      </c>
      <c r="B126" s="6" t="s">
        <v>45</v>
      </c>
      <c r="C126" s="6" t="s">
        <v>470</v>
      </c>
      <c r="D126" s="6" t="s">
        <v>158</v>
      </c>
      <c r="E126" s="42" t="s">
        <v>2026</v>
      </c>
      <c r="F126" s="42" t="s">
        <v>1995</v>
      </c>
      <c r="G126" s="42" t="s">
        <v>1996</v>
      </c>
      <c r="H126" s="6" t="s">
        <v>471</v>
      </c>
      <c r="I126" s="6" t="s">
        <v>472</v>
      </c>
      <c r="J126" s="6" t="s">
        <v>57</v>
      </c>
      <c r="K126" s="6" t="s">
        <v>42</v>
      </c>
      <c r="L126" s="6" t="s">
        <v>52</v>
      </c>
      <c r="M126" s="7">
        <v>46158</v>
      </c>
      <c r="N126" s="8">
        <v>0</v>
      </c>
      <c r="O126" s="9">
        <v>31</v>
      </c>
      <c r="P126" s="8">
        <v>0</v>
      </c>
      <c r="Q126" s="6" t="s">
        <v>126</v>
      </c>
      <c r="R126" s="6" t="s">
        <v>45</v>
      </c>
      <c r="S126" s="6" t="s">
        <v>45</v>
      </c>
      <c r="T126" s="6" t="s">
        <v>45</v>
      </c>
      <c r="U126" s="10">
        <v>1</v>
      </c>
      <c r="V126" s="6" t="s">
        <v>45</v>
      </c>
      <c r="W126" s="10">
        <v>0</v>
      </c>
      <c r="X126" s="6" t="s">
        <v>45</v>
      </c>
      <c r="Y126" s="6" t="s">
        <v>46</v>
      </c>
      <c r="Z126" s="6" t="s">
        <v>473</v>
      </c>
      <c r="AA126" s="10" t="b">
        <v>1</v>
      </c>
      <c r="AB126" s="10" t="b">
        <v>0</v>
      </c>
      <c r="AC126" s="10" t="b">
        <v>0</v>
      </c>
      <c r="AD126" s="7">
        <v>45976</v>
      </c>
      <c r="AE126" s="8">
        <v>0</v>
      </c>
      <c r="AF126" s="6" t="s">
        <v>474</v>
      </c>
      <c r="AG126" s="8">
        <v>0</v>
      </c>
      <c r="AH126" s="11"/>
      <c r="AI126" s="12">
        <v>0</v>
      </c>
    </row>
  </sheetData>
  <autoFilter ref="A2:AJ126" xr:uid="{DEAEB38B-B7B1-4CEB-96F5-6D6210A66AE3}"/>
  <hyperlinks>
    <hyperlink ref="F1" location="Summary!A1" display="Back to summary" xr:uid="{B281EAB6-921B-46B9-BFF0-91F704FEEA1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684BA-2891-42EE-8215-3F2393C375E0}">
  <dimension ref="A1:AI51"/>
  <sheetViews>
    <sheetView workbookViewId="0">
      <selection activeCell="F1" sqref="F1"/>
    </sheetView>
  </sheetViews>
  <sheetFormatPr defaultRowHeight="14.5" x14ac:dyDescent="0.35"/>
  <cols>
    <col min="5" max="5" width="15" bestFit="1" customWidth="1"/>
    <col min="6" max="6" width="16.54296875" bestFit="1" customWidth="1"/>
    <col min="7" max="7" width="10.08984375" bestFit="1" customWidth="1"/>
  </cols>
  <sheetData>
    <row r="1" spans="1:35" x14ac:dyDescent="0.35">
      <c r="F1" s="49" t="s">
        <v>2102</v>
      </c>
    </row>
    <row r="2" spans="1:35" s="4" customFormat="1" x14ac:dyDescent="0.35">
      <c r="A2" s="1" t="s">
        <v>0</v>
      </c>
      <c r="B2" s="2" t="s">
        <v>1</v>
      </c>
      <c r="C2" s="2" t="s">
        <v>2</v>
      </c>
      <c r="D2" s="2" t="s">
        <v>3</v>
      </c>
      <c r="E2" s="2" t="s">
        <v>69</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3" t="s">
        <v>34</v>
      </c>
    </row>
    <row r="3" spans="1:35" x14ac:dyDescent="0.35">
      <c r="A3" s="5" t="s">
        <v>70</v>
      </c>
      <c r="B3" s="6" t="s">
        <v>45</v>
      </c>
      <c r="C3" s="6" t="s">
        <v>71</v>
      </c>
      <c r="D3" s="6" t="s">
        <v>72</v>
      </c>
      <c r="E3" s="42" t="s">
        <v>1709</v>
      </c>
      <c r="F3" s="42" t="s">
        <v>2016</v>
      </c>
      <c r="G3" s="42" t="s">
        <v>2014</v>
      </c>
      <c r="H3" s="6" t="s">
        <v>73</v>
      </c>
      <c r="I3" s="6" t="s">
        <v>74</v>
      </c>
      <c r="J3" s="6" t="s">
        <v>75</v>
      </c>
      <c r="K3" s="6" t="s">
        <v>42</v>
      </c>
      <c r="L3" s="6" t="s">
        <v>52</v>
      </c>
      <c r="M3" s="7">
        <v>44923</v>
      </c>
      <c r="N3" s="8">
        <v>8708</v>
      </c>
      <c r="O3" s="10">
        <v>1267</v>
      </c>
      <c r="P3" s="14">
        <v>28086</v>
      </c>
      <c r="Q3" s="6" t="s">
        <v>76</v>
      </c>
      <c r="R3" s="6" t="s">
        <v>45</v>
      </c>
      <c r="S3" s="6" t="s">
        <v>45</v>
      </c>
      <c r="T3" s="6" t="s">
        <v>45</v>
      </c>
      <c r="U3" s="10">
        <v>1</v>
      </c>
      <c r="V3" s="6" t="s">
        <v>45</v>
      </c>
      <c r="W3" s="10">
        <v>0</v>
      </c>
      <c r="X3" s="6" t="s">
        <v>45</v>
      </c>
      <c r="Y3" s="6" t="s">
        <v>46</v>
      </c>
      <c r="Z3" s="6" t="s">
        <v>45</v>
      </c>
      <c r="AA3" s="10" t="b">
        <v>0</v>
      </c>
      <c r="AB3" s="10" t="b">
        <v>0</v>
      </c>
      <c r="AC3" s="10" t="b">
        <v>0</v>
      </c>
      <c r="AD3" s="7">
        <v>46150</v>
      </c>
      <c r="AE3" s="8">
        <v>0</v>
      </c>
      <c r="AF3" s="6" t="s">
        <v>77</v>
      </c>
      <c r="AG3" s="8">
        <v>0</v>
      </c>
      <c r="AH3" s="11"/>
      <c r="AI3" s="12">
        <v>0</v>
      </c>
    </row>
    <row r="4" spans="1:35" x14ac:dyDescent="0.35">
      <c r="A4" s="5" t="s">
        <v>78</v>
      </c>
      <c r="B4" s="6" t="s">
        <v>45</v>
      </c>
      <c r="C4" s="6" t="s">
        <v>79</v>
      </c>
      <c r="D4" s="6" t="s">
        <v>72</v>
      </c>
      <c r="E4" s="42" t="s">
        <v>1709</v>
      </c>
      <c r="F4" s="42" t="s">
        <v>2016</v>
      </c>
      <c r="G4" s="42" t="s">
        <v>2014</v>
      </c>
      <c r="H4" s="6" t="s">
        <v>73</v>
      </c>
      <c r="I4" s="6" t="s">
        <v>74</v>
      </c>
      <c r="J4" s="6" t="s">
        <v>80</v>
      </c>
      <c r="K4" s="6" t="s">
        <v>42</v>
      </c>
      <c r="L4" s="6" t="s">
        <v>43</v>
      </c>
      <c r="M4" s="7">
        <v>44968</v>
      </c>
      <c r="N4" s="8">
        <v>9708</v>
      </c>
      <c r="O4" s="10">
        <v>1222</v>
      </c>
      <c r="P4" s="14">
        <v>27086</v>
      </c>
      <c r="Q4" s="6" t="s">
        <v>76</v>
      </c>
      <c r="R4" s="6" t="s">
        <v>45</v>
      </c>
      <c r="S4" s="6" t="s">
        <v>45</v>
      </c>
      <c r="T4" s="6" t="s">
        <v>45</v>
      </c>
      <c r="U4" s="10">
        <v>1</v>
      </c>
      <c r="V4" s="6" t="s">
        <v>45</v>
      </c>
      <c r="W4" s="10">
        <v>0</v>
      </c>
      <c r="X4" s="6" t="s">
        <v>45</v>
      </c>
      <c r="Y4" s="6" t="s">
        <v>46</v>
      </c>
      <c r="Z4" s="6" t="s">
        <v>45</v>
      </c>
      <c r="AA4" s="10" t="b">
        <v>0</v>
      </c>
      <c r="AB4" s="10" t="b">
        <v>0</v>
      </c>
      <c r="AC4" s="10" t="b">
        <v>0</v>
      </c>
      <c r="AD4" s="7">
        <v>46174</v>
      </c>
      <c r="AE4" s="8">
        <v>0</v>
      </c>
      <c r="AF4" s="6" t="s">
        <v>81</v>
      </c>
      <c r="AG4" s="8">
        <v>0</v>
      </c>
      <c r="AH4" s="11"/>
      <c r="AI4" s="12">
        <v>0</v>
      </c>
    </row>
    <row r="5" spans="1:35" x14ac:dyDescent="0.35">
      <c r="A5" s="5" t="s">
        <v>82</v>
      </c>
      <c r="B5" s="6" t="s">
        <v>45</v>
      </c>
      <c r="C5" s="6" t="s">
        <v>83</v>
      </c>
      <c r="D5" s="6" t="s">
        <v>84</v>
      </c>
      <c r="E5" s="42" t="s">
        <v>1517</v>
      </c>
      <c r="F5" s="42" t="s">
        <v>2017</v>
      </c>
      <c r="G5" s="42" t="s">
        <v>2014</v>
      </c>
      <c r="H5" s="6" t="s">
        <v>85</v>
      </c>
      <c r="I5" s="6" t="s">
        <v>86</v>
      </c>
      <c r="J5" s="6" t="s">
        <v>80</v>
      </c>
      <c r="K5" s="6" t="s">
        <v>42</v>
      </c>
      <c r="L5" s="6" t="s">
        <v>52</v>
      </c>
      <c r="M5" s="7">
        <v>45323</v>
      </c>
      <c r="N5" s="8">
        <v>44350</v>
      </c>
      <c r="O5" s="10">
        <v>867</v>
      </c>
      <c r="P5" s="14">
        <v>17122</v>
      </c>
      <c r="Q5" s="6" t="s">
        <v>76</v>
      </c>
      <c r="R5" s="6" t="s">
        <v>45</v>
      </c>
      <c r="S5" s="6" t="s">
        <v>45</v>
      </c>
      <c r="T5" s="6" t="s">
        <v>45</v>
      </c>
      <c r="U5" s="10">
        <v>1</v>
      </c>
      <c r="V5" s="6" t="s">
        <v>45</v>
      </c>
      <c r="W5" s="10">
        <v>0</v>
      </c>
      <c r="X5" s="6" t="s">
        <v>45</v>
      </c>
      <c r="Y5" s="6" t="s">
        <v>46</v>
      </c>
      <c r="Z5" s="6" t="s">
        <v>45</v>
      </c>
      <c r="AA5" s="10" t="b">
        <v>0</v>
      </c>
      <c r="AB5" s="10" t="b">
        <v>0</v>
      </c>
      <c r="AC5" s="10" t="b">
        <v>0</v>
      </c>
      <c r="AD5" s="7">
        <v>46187</v>
      </c>
      <c r="AE5" s="8">
        <v>42350</v>
      </c>
      <c r="AF5" s="6" t="s">
        <v>87</v>
      </c>
      <c r="AG5" s="8">
        <v>19122</v>
      </c>
      <c r="AH5" s="11"/>
      <c r="AI5" s="12">
        <v>0</v>
      </c>
    </row>
    <row r="6" spans="1:35" x14ac:dyDescent="0.35">
      <c r="A6" s="5" t="s">
        <v>129</v>
      </c>
      <c r="B6" s="6" t="s">
        <v>45</v>
      </c>
      <c r="C6" s="6" t="s">
        <v>79</v>
      </c>
      <c r="D6" s="6" t="s">
        <v>130</v>
      </c>
      <c r="E6" s="42" t="s">
        <v>2044</v>
      </c>
      <c r="F6" s="42" t="s">
        <v>2034</v>
      </c>
      <c r="G6" s="42" t="s">
        <v>2010</v>
      </c>
      <c r="H6" s="6" t="s">
        <v>73</v>
      </c>
      <c r="I6" s="6" t="s">
        <v>74</v>
      </c>
      <c r="J6" s="6" t="s">
        <v>80</v>
      </c>
      <c r="K6" s="6" t="s">
        <v>42</v>
      </c>
      <c r="L6" s="6" t="s">
        <v>52</v>
      </c>
      <c r="M6" s="7">
        <v>45693</v>
      </c>
      <c r="N6" s="8">
        <v>2000</v>
      </c>
      <c r="O6" s="10">
        <v>496</v>
      </c>
      <c r="P6" s="14">
        <v>11174</v>
      </c>
      <c r="Q6" s="6" t="s">
        <v>76</v>
      </c>
      <c r="R6" s="6" t="s">
        <v>45</v>
      </c>
      <c r="S6" s="6" t="s">
        <v>45</v>
      </c>
      <c r="T6" s="6" t="s">
        <v>45</v>
      </c>
      <c r="U6" s="10">
        <v>1</v>
      </c>
      <c r="V6" s="6" t="s">
        <v>45</v>
      </c>
      <c r="W6" s="10">
        <v>0</v>
      </c>
      <c r="X6" s="6" t="s">
        <v>45</v>
      </c>
      <c r="Y6" s="6" t="s">
        <v>46</v>
      </c>
      <c r="Z6" s="6" t="s">
        <v>45</v>
      </c>
      <c r="AA6" s="10" t="b">
        <v>0</v>
      </c>
      <c r="AB6" s="10" t="b">
        <v>0</v>
      </c>
      <c r="AC6" s="10" t="b">
        <v>0</v>
      </c>
      <c r="AD6" s="7">
        <v>46092</v>
      </c>
      <c r="AE6" s="8">
        <v>10861</v>
      </c>
      <c r="AF6" s="6" t="s">
        <v>131</v>
      </c>
      <c r="AG6" s="8">
        <v>2313</v>
      </c>
      <c r="AH6" s="11"/>
      <c r="AI6" s="12">
        <v>0</v>
      </c>
    </row>
    <row r="7" spans="1:35" x14ac:dyDescent="0.35">
      <c r="A7" s="5" t="s">
        <v>88</v>
      </c>
      <c r="B7" s="6" t="s">
        <v>45</v>
      </c>
      <c r="C7" s="6" t="s">
        <v>89</v>
      </c>
      <c r="D7" s="6" t="s">
        <v>90</v>
      </c>
      <c r="E7" s="42" t="s">
        <v>2050</v>
      </c>
      <c r="F7" s="42" t="s">
        <v>2034</v>
      </c>
      <c r="G7" s="42" t="s">
        <v>2010</v>
      </c>
      <c r="H7" s="6" t="s">
        <v>91</v>
      </c>
      <c r="I7" s="6" t="s">
        <v>92</v>
      </c>
      <c r="J7" s="6" t="s">
        <v>93</v>
      </c>
      <c r="K7" s="6" t="s">
        <v>42</v>
      </c>
      <c r="L7" s="6" t="s">
        <v>52</v>
      </c>
      <c r="M7" s="7">
        <v>45485</v>
      </c>
      <c r="N7" s="8">
        <v>500</v>
      </c>
      <c r="O7" s="10">
        <v>704</v>
      </c>
      <c r="P7" s="14">
        <v>10654</v>
      </c>
      <c r="Q7" s="6" t="s">
        <v>94</v>
      </c>
      <c r="R7" s="6" t="s">
        <v>45</v>
      </c>
      <c r="S7" s="6" t="s">
        <v>45</v>
      </c>
      <c r="T7" s="6" t="s">
        <v>45</v>
      </c>
      <c r="U7" s="10">
        <v>1</v>
      </c>
      <c r="V7" s="6" t="s">
        <v>45</v>
      </c>
      <c r="W7" s="10">
        <v>0</v>
      </c>
      <c r="X7" s="6" t="s">
        <v>45</v>
      </c>
      <c r="Y7" s="6" t="s">
        <v>46</v>
      </c>
      <c r="Z7" s="6" t="s">
        <v>45</v>
      </c>
      <c r="AA7" s="10" t="b">
        <v>0</v>
      </c>
      <c r="AB7" s="10" t="b">
        <v>0</v>
      </c>
      <c r="AC7" s="10" t="b">
        <v>0</v>
      </c>
      <c r="AD7" s="7">
        <v>46166</v>
      </c>
      <c r="AE7" s="8">
        <v>10849</v>
      </c>
      <c r="AF7" s="6" t="s">
        <v>95</v>
      </c>
      <c r="AG7" s="8">
        <v>305</v>
      </c>
      <c r="AH7" s="11"/>
      <c r="AI7" s="12">
        <v>0</v>
      </c>
    </row>
    <row r="8" spans="1:35" x14ac:dyDescent="0.35">
      <c r="A8" s="5" t="s">
        <v>103</v>
      </c>
      <c r="B8" s="6" t="s">
        <v>45</v>
      </c>
      <c r="C8" s="6" t="s">
        <v>104</v>
      </c>
      <c r="D8" s="6" t="s">
        <v>105</v>
      </c>
      <c r="E8" s="42" t="s">
        <v>2028</v>
      </c>
      <c r="F8" s="42" t="s">
        <v>2022</v>
      </c>
      <c r="G8" s="42" t="s">
        <v>2001</v>
      </c>
      <c r="H8" s="6" t="s">
        <v>106</v>
      </c>
      <c r="I8" s="6" t="s">
        <v>107</v>
      </c>
      <c r="J8" s="6" t="s">
        <v>108</v>
      </c>
      <c r="K8" s="6" t="s">
        <v>42</v>
      </c>
      <c r="L8" s="6" t="s">
        <v>52</v>
      </c>
      <c r="M8" s="7">
        <v>45526</v>
      </c>
      <c r="N8" s="8">
        <v>23269</v>
      </c>
      <c r="O8" s="10">
        <v>663</v>
      </c>
      <c r="P8" s="14">
        <v>9063</v>
      </c>
      <c r="Q8" s="6" t="s">
        <v>109</v>
      </c>
      <c r="R8" s="6" t="s">
        <v>45</v>
      </c>
      <c r="S8" s="6" t="s">
        <v>45</v>
      </c>
      <c r="T8" s="6" t="s">
        <v>45</v>
      </c>
      <c r="U8" s="10">
        <v>1</v>
      </c>
      <c r="V8" s="6" t="s">
        <v>45</v>
      </c>
      <c r="W8" s="10">
        <v>0</v>
      </c>
      <c r="X8" s="6" t="s">
        <v>45</v>
      </c>
      <c r="Y8" s="6" t="s">
        <v>46</v>
      </c>
      <c r="Z8" s="6" t="s">
        <v>45</v>
      </c>
      <c r="AA8" s="10" t="b">
        <v>0</v>
      </c>
      <c r="AB8" s="10" t="b">
        <v>0</v>
      </c>
      <c r="AC8" s="10" t="b">
        <v>0</v>
      </c>
      <c r="AD8" s="7">
        <v>46189</v>
      </c>
      <c r="AE8" s="8">
        <v>0</v>
      </c>
      <c r="AF8" s="6" t="s">
        <v>110</v>
      </c>
      <c r="AG8" s="8">
        <v>0</v>
      </c>
      <c r="AH8" s="11"/>
      <c r="AI8" s="12">
        <v>0</v>
      </c>
    </row>
    <row r="9" spans="1:35" x14ac:dyDescent="0.35">
      <c r="A9" s="5" t="s">
        <v>122</v>
      </c>
      <c r="B9" s="6" t="s">
        <v>45</v>
      </c>
      <c r="C9" s="6" t="s">
        <v>123</v>
      </c>
      <c r="D9" s="6" t="s">
        <v>124</v>
      </c>
      <c r="E9" s="42" t="s">
        <v>725</v>
      </c>
      <c r="F9" s="42" t="s">
        <v>2002</v>
      </c>
      <c r="G9" s="42" t="s">
        <v>1996</v>
      </c>
      <c r="H9" s="6" t="s">
        <v>45</v>
      </c>
      <c r="I9" s="6" t="s">
        <v>45</v>
      </c>
      <c r="J9" s="6" t="s">
        <v>125</v>
      </c>
      <c r="K9" s="6" t="s">
        <v>42</v>
      </c>
      <c r="L9" s="6" t="s">
        <v>52</v>
      </c>
      <c r="M9" s="7">
        <v>45682</v>
      </c>
      <c r="N9" s="8">
        <v>91811</v>
      </c>
      <c r="O9" s="10">
        <v>508</v>
      </c>
      <c r="P9" s="14">
        <v>8838</v>
      </c>
      <c r="Q9" s="6" t="s">
        <v>126</v>
      </c>
      <c r="R9" s="6" t="s">
        <v>45</v>
      </c>
      <c r="S9" s="6" t="s">
        <v>45</v>
      </c>
      <c r="T9" s="6" t="s">
        <v>45</v>
      </c>
      <c r="U9" s="10">
        <v>1</v>
      </c>
      <c r="V9" s="6" t="s">
        <v>45</v>
      </c>
      <c r="W9" s="10">
        <v>0</v>
      </c>
      <c r="X9" s="6" t="s">
        <v>45</v>
      </c>
      <c r="Y9" s="6" t="s">
        <v>46</v>
      </c>
      <c r="Z9" s="6" t="s">
        <v>45</v>
      </c>
      <c r="AA9" s="10" t="b">
        <v>0</v>
      </c>
      <c r="AB9" s="10" t="b">
        <v>0</v>
      </c>
      <c r="AC9" s="10" t="b">
        <v>0</v>
      </c>
      <c r="AD9" s="7">
        <v>45730</v>
      </c>
      <c r="AE9" s="8">
        <v>75811</v>
      </c>
      <c r="AF9" s="6" t="s">
        <v>127</v>
      </c>
      <c r="AG9" s="8">
        <v>24838</v>
      </c>
      <c r="AH9" s="11"/>
      <c r="AI9" s="12">
        <v>0</v>
      </c>
    </row>
    <row r="10" spans="1:35" x14ac:dyDescent="0.35">
      <c r="A10" s="5" t="s">
        <v>128</v>
      </c>
      <c r="B10" s="6" t="s">
        <v>45</v>
      </c>
      <c r="C10" s="6" t="s">
        <v>123</v>
      </c>
      <c r="D10" s="6" t="s">
        <v>124</v>
      </c>
      <c r="E10" s="42" t="s">
        <v>725</v>
      </c>
      <c r="F10" s="42" t="s">
        <v>2002</v>
      </c>
      <c r="G10" s="42" t="s">
        <v>1996</v>
      </c>
      <c r="H10" s="6" t="s">
        <v>45</v>
      </c>
      <c r="I10" s="6" t="s">
        <v>45</v>
      </c>
      <c r="J10" s="6" t="s">
        <v>125</v>
      </c>
      <c r="K10" s="6" t="s">
        <v>42</v>
      </c>
      <c r="L10" s="6" t="s">
        <v>52</v>
      </c>
      <c r="M10" s="7">
        <v>45682</v>
      </c>
      <c r="N10" s="8">
        <v>91811</v>
      </c>
      <c r="O10" s="10">
        <v>508</v>
      </c>
      <c r="P10" s="14">
        <v>8838</v>
      </c>
      <c r="Q10" s="6" t="s">
        <v>126</v>
      </c>
      <c r="R10" s="6" t="s">
        <v>45</v>
      </c>
      <c r="S10" s="6" t="s">
        <v>45</v>
      </c>
      <c r="T10" s="6" t="s">
        <v>45</v>
      </c>
      <c r="U10" s="10">
        <v>1</v>
      </c>
      <c r="V10" s="6" t="s">
        <v>45</v>
      </c>
      <c r="W10" s="10">
        <v>0</v>
      </c>
      <c r="X10" s="6" t="s">
        <v>45</v>
      </c>
      <c r="Y10" s="6" t="s">
        <v>46</v>
      </c>
      <c r="Z10" s="6" t="s">
        <v>45</v>
      </c>
      <c r="AA10" s="10" t="b">
        <v>0</v>
      </c>
      <c r="AB10" s="10" t="b">
        <v>0</v>
      </c>
      <c r="AC10" s="10" t="b">
        <v>0</v>
      </c>
      <c r="AD10" s="7">
        <v>45730</v>
      </c>
      <c r="AE10" s="8">
        <v>75811</v>
      </c>
      <c r="AF10" s="6" t="s">
        <v>127</v>
      </c>
      <c r="AG10" s="8">
        <v>24838</v>
      </c>
      <c r="AH10" s="11"/>
      <c r="AI10" s="12">
        <v>0</v>
      </c>
    </row>
    <row r="11" spans="1:35" x14ac:dyDescent="0.35">
      <c r="A11" s="5" t="s">
        <v>111</v>
      </c>
      <c r="B11" s="6" t="s">
        <v>45</v>
      </c>
      <c r="C11" s="6" t="s">
        <v>112</v>
      </c>
      <c r="D11" s="6" t="s">
        <v>113</v>
      </c>
      <c r="E11" s="42" t="s">
        <v>2030</v>
      </c>
      <c r="F11" s="42" t="s">
        <v>2007</v>
      </c>
      <c r="G11" s="42" t="s">
        <v>2006</v>
      </c>
      <c r="H11" s="6" t="s">
        <v>73</v>
      </c>
      <c r="I11" s="6" t="s">
        <v>74</v>
      </c>
      <c r="J11" s="6" t="s">
        <v>114</v>
      </c>
      <c r="K11" s="6" t="s">
        <v>42</v>
      </c>
      <c r="L11" s="6" t="s">
        <v>52</v>
      </c>
      <c r="M11" s="7">
        <v>45595</v>
      </c>
      <c r="N11" s="8">
        <v>8000</v>
      </c>
      <c r="O11" s="10">
        <v>594</v>
      </c>
      <c r="P11" s="14">
        <v>8420</v>
      </c>
      <c r="Q11" s="6" t="s">
        <v>76</v>
      </c>
      <c r="R11" s="6" t="s">
        <v>45</v>
      </c>
      <c r="S11" s="6" t="s">
        <v>45</v>
      </c>
      <c r="T11" s="6" t="s">
        <v>45</v>
      </c>
      <c r="U11" s="10">
        <v>1</v>
      </c>
      <c r="V11" s="6" t="s">
        <v>45</v>
      </c>
      <c r="W11" s="10">
        <v>0</v>
      </c>
      <c r="X11" s="6" t="s">
        <v>45</v>
      </c>
      <c r="Y11" s="6" t="s">
        <v>46</v>
      </c>
      <c r="Z11" s="6" t="s">
        <v>45</v>
      </c>
      <c r="AA11" s="10" t="b">
        <v>0</v>
      </c>
      <c r="AB11" s="10" t="b">
        <v>0</v>
      </c>
      <c r="AC11" s="10" t="b">
        <v>0</v>
      </c>
      <c r="AD11" s="7">
        <v>46180</v>
      </c>
      <c r="AE11" s="8">
        <v>0</v>
      </c>
      <c r="AF11" s="6" t="s">
        <v>115</v>
      </c>
      <c r="AG11" s="8">
        <v>0</v>
      </c>
      <c r="AH11" s="11"/>
      <c r="AI11" s="12">
        <v>0</v>
      </c>
    </row>
    <row r="12" spans="1:35" x14ac:dyDescent="0.35">
      <c r="A12" s="5" t="s">
        <v>132</v>
      </c>
      <c r="B12" s="6" t="s">
        <v>45</v>
      </c>
      <c r="C12" s="6" t="s">
        <v>123</v>
      </c>
      <c r="D12" s="6" t="s">
        <v>124</v>
      </c>
      <c r="E12" s="42" t="s">
        <v>725</v>
      </c>
      <c r="F12" s="42" t="s">
        <v>2002</v>
      </c>
      <c r="G12" s="42" t="s">
        <v>1996</v>
      </c>
      <c r="H12" s="6" t="s">
        <v>45</v>
      </c>
      <c r="I12" s="6" t="s">
        <v>45</v>
      </c>
      <c r="J12" s="6" t="s">
        <v>125</v>
      </c>
      <c r="K12" s="6" t="s">
        <v>42</v>
      </c>
      <c r="L12" s="6" t="s">
        <v>52</v>
      </c>
      <c r="M12" s="7">
        <v>45746</v>
      </c>
      <c r="N12" s="8">
        <v>92930</v>
      </c>
      <c r="O12" s="10">
        <v>444</v>
      </c>
      <c r="P12" s="14">
        <v>7719</v>
      </c>
      <c r="Q12" s="6" t="s">
        <v>126</v>
      </c>
      <c r="R12" s="6" t="s">
        <v>45</v>
      </c>
      <c r="S12" s="6" t="s">
        <v>45</v>
      </c>
      <c r="T12" s="6" t="s">
        <v>45</v>
      </c>
      <c r="U12" s="10">
        <v>1</v>
      </c>
      <c r="V12" s="6" t="s">
        <v>45</v>
      </c>
      <c r="W12" s="10">
        <v>0</v>
      </c>
      <c r="X12" s="6" t="s">
        <v>45</v>
      </c>
      <c r="Y12" s="6" t="s">
        <v>46</v>
      </c>
      <c r="Z12" s="6" t="s">
        <v>45</v>
      </c>
      <c r="AA12" s="10" t="b">
        <v>0</v>
      </c>
      <c r="AB12" s="10" t="b">
        <v>0</v>
      </c>
      <c r="AC12" s="10" t="b">
        <v>0</v>
      </c>
      <c r="AD12" s="7">
        <v>44825</v>
      </c>
      <c r="AE12" s="8">
        <v>76930</v>
      </c>
      <c r="AF12" s="6" t="s">
        <v>133</v>
      </c>
      <c r="AG12" s="8">
        <v>23719</v>
      </c>
      <c r="AH12" s="11"/>
      <c r="AI12" s="12">
        <v>0</v>
      </c>
    </row>
    <row r="13" spans="1:35" x14ac:dyDescent="0.35">
      <c r="A13" s="5" t="s">
        <v>151</v>
      </c>
      <c r="B13" s="6" t="s">
        <v>45</v>
      </c>
      <c r="C13" s="6" t="s">
        <v>152</v>
      </c>
      <c r="D13" s="6" t="s">
        <v>124</v>
      </c>
      <c r="E13" s="42" t="s">
        <v>725</v>
      </c>
      <c r="F13" s="42" t="s">
        <v>2002</v>
      </c>
      <c r="G13" s="42" t="s">
        <v>1996</v>
      </c>
      <c r="H13" s="6" t="s">
        <v>45</v>
      </c>
      <c r="I13" s="6" t="s">
        <v>45</v>
      </c>
      <c r="J13" s="6" t="s">
        <v>142</v>
      </c>
      <c r="K13" s="6" t="s">
        <v>42</v>
      </c>
      <c r="L13" s="6" t="s">
        <v>52</v>
      </c>
      <c r="M13" s="7">
        <v>45874</v>
      </c>
      <c r="N13" s="8">
        <v>95156</v>
      </c>
      <c r="O13" s="10">
        <v>316</v>
      </c>
      <c r="P13" s="14">
        <v>5493</v>
      </c>
      <c r="Q13" s="6" t="s">
        <v>126</v>
      </c>
      <c r="R13" s="6" t="s">
        <v>45</v>
      </c>
      <c r="S13" s="6" t="s">
        <v>45</v>
      </c>
      <c r="T13" s="6" t="s">
        <v>45</v>
      </c>
      <c r="U13" s="10">
        <v>1</v>
      </c>
      <c r="V13" s="6" t="s">
        <v>45</v>
      </c>
      <c r="W13" s="10">
        <v>0</v>
      </c>
      <c r="X13" s="6" t="s">
        <v>45</v>
      </c>
      <c r="Y13" s="6" t="s">
        <v>46</v>
      </c>
      <c r="Z13" s="6" t="s">
        <v>45</v>
      </c>
      <c r="AA13" s="10" t="b">
        <v>0</v>
      </c>
      <c r="AB13" s="10" t="b">
        <v>0</v>
      </c>
      <c r="AC13" s="10" t="b">
        <v>0</v>
      </c>
      <c r="AD13" s="7">
        <v>43896</v>
      </c>
      <c r="AE13" s="8">
        <v>63156</v>
      </c>
      <c r="AF13" s="6" t="s">
        <v>153</v>
      </c>
      <c r="AG13" s="8">
        <v>37493</v>
      </c>
      <c r="AH13" s="11"/>
      <c r="AI13" s="12">
        <v>0</v>
      </c>
    </row>
    <row r="14" spans="1:35" x14ac:dyDescent="0.35">
      <c r="A14" s="5" t="s">
        <v>154</v>
      </c>
      <c r="B14" s="6" t="s">
        <v>45</v>
      </c>
      <c r="C14" s="6" t="s">
        <v>123</v>
      </c>
      <c r="D14" s="6" t="s">
        <v>124</v>
      </c>
      <c r="E14" s="42" t="s">
        <v>725</v>
      </c>
      <c r="F14" s="42" t="s">
        <v>2002</v>
      </c>
      <c r="G14" s="42" t="s">
        <v>1996</v>
      </c>
      <c r="H14" s="6" t="s">
        <v>45</v>
      </c>
      <c r="I14" s="6" t="s">
        <v>45</v>
      </c>
      <c r="J14" s="6" t="s">
        <v>125</v>
      </c>
      <c r="K14" s="6" t="s">
        <v>42</v>
      </c>
      <c r="L14" s="6" t="s">
        <v>52</v>
      </c>
      <c r="M14" s="7">
        <v>45900</v>
      </c>
      <c r="N14" s="8">
        <v>95601</v>
      </c>
      <c r="O14" s="10">
        <v>290</v>
      </c>
      <c r="P14" s="14">
        <v>5048</v>
      </c>
      <c r="Q14" s="6" t="s">
        <v>126</v>
      </c>
      <c r="R14" s="6" t="s">
        <v>45</v>
      </c>
      <c r="S14" s="6" t="s">
        <v>45</v>
      </c>
      <c r="T14" s="6" t="s">
        <v>45</v>
      </c>
      <c r="U14" s="10">
        <v>1</v>
      </c>
      <c r="V14" s="6" t="s">
        <v>45</v>
      </c>
      <c r="W14" s="10">
        <v>0</v>
      </c>
      <c r="X14" s="6" t="s">
        <v>45</v>
      </c>
      <c r="Y14" s="6" t="s">
        <v>46</v>
      </c>
      <c r="Z14" s="6" t="s">
        <v>45</v>
      </c>
      <c r="AA14" s="10" t="b">
        <v>0</v>
      </c>
      <c r="AB14" s="10" t="b">
        <v>0</v>
      </c>
      <c r="AC14" s="10" t="b">
        <v>0</v>
      </c>
      <c r="AD14" s="7">
        <v>44969</v>
      </c>
      <c r="AE14" s="8">
        <v>79601</v>
      </c>
      <c r="AF14" s="6" t="s">
        <v>155</v>
      </c>
      <c r="AG14" s="8">
        <v>21048</v>
      </c>
      <c r="AH14" s="11"/>
      <c r="AI14" s="12">
        <v>0</v>
      </c>
    </row>
    <row r="15" spans="1:35" x14ac:dyDescent="0.35">
      <c r="A15" s="5" t="s">
        <v>139</v>
      </c>
      <c r="B15" s="6" t="s">
        <v>45</v>
      </c>
      <c r="C15" s="6" t="s">
        <v>140</v>
      </c>
      <c r="D15" s="6" t="s">
        <v>141</v>
      </c>
      <c r="E15" s="42" t="s">
        <v>1041</v>
      </c>
      <c r="F15" s="42" t="s">
        <v>1997</v>
      </c>
      <c r="G15" s="42" t="s">
        <v>1996</v>
      </c>
      <c r="H15" s="6" t="s">
        <v>45</v>
      </c>
      <c r="I15" s="6" t="s">
        <v>45</v>
      </c>
      <c r="J15" s="6" t="s">
        <v>142</v>
      </c>
      <c r="K15" s="6" t="s">
        <v>42</v>
      </c>
      <c r="L15" s="6" t="s">
        <v>52</v>
      </c>
      <c r="M15" s="7">
        <v>45861</v>
      </c>
      <c r="N15" s="8">
        <v>32000</v>
      </c>
      <c r="O15" s="10">
        <v>328</v>
      </c>
      <c r="P15" s="14">
        <v>2911</v>
      </c>
      <c r="Q15" s="6" t="s">
        <v>126</v>
      </c>
      <c r="R15" s="6" t="s">
        <v>45</v>
      </c>
      <c r="S15" s="6" t="s">
        <v>45</v>
      </c>
      <c r="T15" s="6" t="s">
        <v>45</v>
      </c>
      <c r="U15" s="10">
        <v>1</v>
      </c>
      <c r="V15" s="6" t="s">
        <v>45</v>
      </c>
      <c r="W15" s="10">
        <v>0</v>
      </c>
      <c r="X15" s="6" t="s">
        <v>45</v>
      </c>
      <c r="Y15" s="6" t="s">
        <v>46</v>
      </c>
      <c r="Z15" s="6" t="s">
        <v>45</v>
      </c>
      <c r="AA15" s="10" t="b">
        <v>0</v>
      </c>
      <c r="AB15" s="10" t="b">
        <v>0</v>
      </c>
      <c r="AC15" s="10" t="b">
        <v>1</v>
      </c>
      <c r="AD15" s="7"/>
      <c r="AE15" s="8">
        <v>0</v>
      </c>
      <c r="AF15" s="6" t="s">
        <v>45</v>
      </c>
      <c r="AG15" s="8">
        <v>0</v>
      </c>
      <c r="AH15" s="11"/>
      <c r="AI15" s="12">
        <v>0</v>
      </c>
    </row>
    <row r="16" spans="1:35" x14ac:dyDescent="0.35">
      <c r="A16" s="5" t="s">
        <v>143</v>
      </c>
      <c r="B16" s="6" t="s">
        <v>45</v>
      </c>
      <c r="C16" s="6" t="s">
        <v>140</v>
      </c>
      <c r="D16" s="6" t="s">
        <v>141</v>
      </c>
      <c r="E16" s="42" t="s">
        <v>1041</v>
      </c>
      <c r="F16" s="42" t="s">
        <v>1997</v>
      </c>
      <c r="G16" s="42" t="s">
        <v>1996</v>
      </c>
      <c r="H16" s="6" t="s">
        <v>45</v>
      </c>
      <c r="I16" s="6" t="s">
        <v>45</v>
      </c>
      <c r="J16" s="6" t="s">
        <v>142</v>
      </c>
      <c r="K16" s="6" t="s">
        <v>42</v>
      </c>
      <c r="L16" s="6" t="s">
        <v>52</v>
      </c>
      <c r="M16" s="7">
        <v>45861</v>
      </c>
      <c r="N16" s="8">
        <v>32000</v>
      </c>
      <c r="O16" s="10">
        <v>328</v>
      </c>
      <c r="P16" s="14">
        <v>2911</v>
      </c>
      <c r="Q16" s="6" t="s">
        <v>126</v>
      </c>
      <c r="R16" s="6" t="s">
        <v>45</v>
      </c>
      <c r="S16" s="6" t="s">
        <v>45</v>
      </c>
      <c r="T16" s="6" t="s">
        <v>45</v>
      </c>
      <c r="U16" s="10">
        <v>1</v>
      </c>
      <c r="V16" s="6" t="s">
        <v>45</v>
      </c>
      <c r="W16" s="10">
        <v>0</v>
      </c>
      <c r="X16" s="6" t="s">
        <v>45</v>
      </c>
      <c r="Y16" s="6" t="s">
        <v>46</v>
      </c>
      <c r="Z16" s="6" t="s">
        <v>45</v>
      </c>
      <c r="AA16" s="10" t="b">
        <v>0</v>
      </c>
      <c r="AB16" s="10" t="b">
        <v>0</v>
      </c>
      <c r="AC16" s="10" t="b">
        <v>1</v>
      </c>
      <c r="AD16" s="7"/>
      <c r="AE16" s="8">
        <v>0</v>
      </c>
      <c r="AF16" s="6" t="s">
        <v>45</v>
      </c>
      <c r="AG16" s="8">
        <v>0</v>
      </c>
      <c r="AH16" s="11"/>
      <c r="AI16" s="12">
        <v>0</v>
      </c>
    </row>
    <row r="17" spans="1:35" x14ac:dyDescent="0.35">
      <c r="A17" s="5" t="s">
        <v>144</v>
      </c>
      <c r="B17" s="6" t="s">
        <v>45</v>
      </c>
      <c r="C17" s="6" t="s">
        <v>140</v>
      </c>
      <c r="D17" s="6" t="s">
        <v>141</v>
      </c>
      <c r="E17" s="42" t="s">
        <v>1041</v>
      </c>
      <c r="F17" s="42" t="s">
        <v>1997</v>
      </c>
      <c r="G17" s="42" t="s">
        <v>1996</v>
      </c>
      <c r="H17" s="6" t="s">
        <v>45</v>
      </c>
      <c r="I17" s="6" t="s">
        <v>45</v>
      </c>
      <c r="J17" s="6" t="s">
        <v>142</v>
      </c>
      <c r="K17" s="6" t="s">
        <v>42</v>
      </c>
      <c r="L17" s="6" t="s">
        <v>52</v>
      </c>
      <c r="M17" s="7">
        <v>45861</v>
      </c>
      <c r="N17" s="8">
        <v>32000</v>
      </c>
      <c r="O17" s="10">
        <v>328</v>
      </c>
      <c r="P17" s="14">
        <v>2911</v>
      </c>
      <c r="Q17" s="6" t="s">
        <v>126</v>
      </c>
      <c r="R17" s="6" t="s">
        <v>45</v>
      </c>
      <c r="S17" s="6" t="s">
        <v>45</v>
      </c>
      <c r="T17" s="6" t="s">
        <v>45</v>
      </c>
      <c r="U17" s="10">
        <v>1</v>
      </c>
      <c r="V17" s="6" t="s">
        <v>45</v>
      </c>
      <c r="W17" s="10">
        <v>0</v>
      </c>
      <c r="X17" s="6" t="s">
        <v>45</v>
      </c>
      <c r="Y17" s="6" t="s">
        <v>46</v>
      </c>
      <c r="Z17" s="6" t="s">
        <v>45</v>
      </c>
      <c r="AA17" s="10" t="b">
        <v>0</v>
      </c>
      <c r="AB17" s="10" t="b">
        <v>0</v>
      </c>
      <c r="AC17" s="10" t="b">
        <v>1</v>
      </c>
      <c r="AD17" s="7"/>
      <c r="AE17" s="8">
        <v>0</v>
      </c>
      <c r="AF17" s="6" t="s">
        <v>45</v>
      </c>
      <c r="AG17" s="8">
        <v>0</v>
      </c>
      <c r="AH17" s="11"/>
      <c r="AI17" s="12">
        <v>0</v>
      </c>
    </row>
    <row r="18" spans="1:35" x14ac:dyDescent="0.35">
      <c r="A18" s="5" t="s">
        <v>145</v>
      </c>
      <c r="B18" s="6" t="s">
        <v>45</v>
      </c>
      <c r="C18" s="6" t="s">
        <v>140</v>
      </c>
      <c r="D18" s="6" t="s">
        <v>141</v>
      </c>
      <c r="E18" s="42" t="s">
        <v>1041</v>
      </c>
      <c r="F18" s="42" t="s">
        <v>1997</v>
      </c>
      <c r="G18" s="42" t="s">
        <v>1996</v>
      </c>
      <c r="H18" s="6" t="s">
        <v>45</v>
      </c>
      <c r="I18" s="6" t="s">
        <v>45</v>
      </c>
      <c r="J18" s="6" t="s">
        <v>142</v>
      </c>
      <c r="K18" s="6" t="s">
        <v>42</v>
      </c>
      <c r="L18" s="6" t="s">
        <v>52</v>
      </c>
      <c r="M18" s="7">
        <v>45861</v>
      </c>
      <c r="N18" s="8">
        <v>32000</v>
      </c>
      <c r="O18" s="10">
        <v>328</v>
      </c>
      <c r="P18" s="14">
        <v>2911</v>
      </c>
      <c r="Q18" s="6" t="s">
        <v>126</v>
      </c>
      <c r="R18" s="6" t="s">
        <v>45</v>
      </c>
      <c r="S18" s="6" t="s">
        <v>45</v>
      </c>
      <c r="T18" s="6" t="s">
        <v>45</v>
      </c>
      <c r="U18" s="10">
        <v>1</v>
      </c>
      <c r="V18" s="6" t="s">
        <v>45</v>
      </c>
      <c r="W18" s="10">
        <v>0</v>
      </c>
      <c r="X18" s="6" t="s">
        <v>45</v>
      </c>
      <c r="Y18" s="6" t="s">
        <v>46</v>
      </c>
      <c r="Z18" s="6" t="s">
        <v>45</v>
      </c>
      <c r="AA18" s="10" t="b">
        <v>0</v>
      </c>
      <c r="AB18" s="10" t="b">
        <v>0</v>
      </c>
      <c r="AC18" s="10" t="b">
        <v>1</v>
      </c>
      <c r="AD18" s="7"/>
      <c r="AE18" s="8">
        <v>0</v>
      </c>
      <c r="AF18" s="6" t="s">
        <v>45</v>
      </c>
      <c r="AG18" s="8">
        <v>0</v>
      </c>
      <c r="AH18" s="11"/>
      <c r="AI18" s="12">
        <v>0</v>
      </c>
    </row>
    <row r="19" spans="1:35" x14ac:dyDescent="0.35">
      <c r="A19" s="5" t="s">
        <v>146</v>
      </c>
      <c r="B19" s="6" t="s">
        <v>45</v>
      </c>
      <c r="C19" s="6" t="s">
        <v>140</v>
      </c>
      <c r="D19" s="6" t="s">
        <v>141</v>
      </c>
      <c r="E19" s="42" t="s">
        <v>1041</v>
      </c>
      <c r="F19" s="42" t="s">
        <v>1997</v>
      </c>
      <c r="G19" s="42" t="s">
        <v>1996</v>
      </c>
      <c r="H19" s="6" t="s">
        <v>45</v>
      </c>
      <c r="I19" s="6" t="s">
        <v>45</v>
      </c>
      <c r="J19" s="6" t="s">
        <v>142</v>
      </c>
      <c r="K19" s="6" t="s">
        <v>42</v>
      </c>
      <c r="L19" s="6" t="s">
        <v>52</v>
      </c>
      <c r="M19" s="7">
        <v>45861</v>
      </c>
      <c r="N19" s="8">
        <v>32000</v>
      </c>
      <c r="O19" s="10">
        <v>328</v>
      </c>
      <c r="P19" s="14">
        <v>2911</v>
      </c>
      <c r="Q19" s="6" t="s">
        <v>126</v>
      </c>
      <c r="R19" s="6" t="s">
        <v>45</v>
      </c>
      <c r="S19" s="6" t="s">
        <v>45</v>
      </c>
      <c r="T19" s="6" t="s">
        <v>45</v>
      </c>
      <c r="U19" s="10">
        <v>1</v>
      </c>
      <c r="V19" s="6" t="s">
        <v>45</v>
      </c>
      <c r="W19" s="10">
        <v>0</v>
      </c>
      <c r="X19" s="6" t="s">
        <v>45</v>
      </c>
      <c r="Y19" s="6" t="s">
        <v>46</v>
      </c>
      <c r="Z19" s="6" t="s">
        <v>45</v>
      </c>
      <c r="AA19" s="10" t="b">
        <v>0</v>
      </c>
      <c r="AB19" s="10" t="b">
        <v>0</v>
      </c>
      <c r="AC19" s="10" t="b">
        <v>1</v>
      </c>
      <c r="AD19" s="7"/>
      <c r="AE19" s="8">
        <v>0</v>
      </c>
      <c r="AF19" s="6" t="s">
        <v>45</v>
      </c>
      <c r="AG19" s="8">
        <v>0</v>
      </c>
      <c r="AH19" s="11"/>
      <c r="AI19" s="12">
        <v>0</v>
      </c>
    </row>
    <row r="20" spans="1:35" x14ac:dyDescent="0.35">
      <c r="A20" s="5" t="s">
        <v>147</v>
      </c>
      <c r="B20" s="6" t="s">
        <v>45</v>
      </c>
      <c r="C20" s="6" t="s">
        <v>140</v>
      </c>
      <c r="D20" s="6" t="s">
        <v>141</v>
      </c>
      <c r="E20" s="42" t="s">
        <v>1041</v>
      </c>
      <c r="F20" s="42" t="s">
        <v>1997</v>
      </c>
      <c r="G20" s="42" t="s">
        <v>1996</v>
      </c>
      <c r="H20" s="6" t="s">
        <v>45</v>
      </c>
      <c r="I20" s="6" t="s">
        <v>45</v>
      </c>
      <c r="J20" s="6" t="s">
        <v>142</v>
      </c>
      <c r="K20" s="6" t="s">
        <v>42</v>
      </c>
      <c r="L20" s="6" t="s">
        <v>52</v>
      </c>
      <c r="M20" s="7">
        <v>45861</v>
      </c>
      <c r="N20" s="8">
        <v>32000</v>
      </c>
      <c r="O20" s="10">
        <v>328</v>
      </c>
      <c r="P20" s="14">
        <v>2911</v>
      </c>
      <c r="Q20" s="6" t="s">
        <v>126</v>
      </c>
      <c r="R20" s="6" t="s">
        <v>45</v>
      </c>
      <c r="S20" s="6" t="s">
        <v>45</v>
      </c>
      <c r="T20" s="6" t="s">
        <v>45</v>
      </c>
      <c r="U20" s="10">
        <v>1</v>
      </c>
      <c r="V20" s="6" t="s">
        <v>45</v>
      </c>
      <c r="W20" s="10">
        <v>0</v>
      </c>
      <c r="X20" s="6" t="s">
        <v>45</v>
      </c>
      <c r="Y20" s="6" t="s">
        <v>46</v>
      </c>
      <c r="Z20" s="6" t="s">
        <v>45</v>
      </c>
      <c r="AA20" s="10" t="b">
        <v>0</v>
      </c>
      <c r="AB20" s="10" t="b">
        <v>0</v>
      </c>
      <c r="AC20" s="10" t="b">
        <v>1</v>
      </c>
      <c r="AD20" s="7"/>
      <c r="AE20" s="8">
        <v>0</v>
      </c>
      <c r="AF20" s="6" t="s">
        <v>45</v>
      </c>
      <c r="AG20" s="8">
        <v>0</v>
      </c>
      <c r="AH20" s="11"/>
      <c r="AI20" s="12">
        <v>0</v>
      </c>
    </row>
    <row r="21" spans="1:35" x14ac:dyDescent="0.35">
      <c r="A21" s="5" t="s">
        <v>148</v>
      </c>
      <c r="B21" s="6" t="s">
        <v>45</v>
      </c>
      <c r="C21" s="6" t="s">
        <v>140</v>
      </c>
      <c r="D21" s="6" t="s">
        <v>141</v>
      </c>
      <c r="E21" s="42" t="s">
        <v>1041</v>
      </c>
      <c r="F21" s="42" t="s">
        <v>1997</v>
      </c>
      <c r="G21" s="42" t="s">
        <v>1996</v>
      </c>
      <c r="H21" s="6" t="s">
        <v>45</v>
      </c>
      <c r="I21" s="6" t="s">
        <v>45</v>
      </c>
      <c r="J21" s="6" t="s">
        <v>142</v>
      </c>
      <c r="K21" s="6" t="s">
        <v>42</v>
      </c>
      <c r="L21" s="6" t="s">
        <v>52</v>
      </c>
      <c r="M21" s="7">
        <v>45861</v>
      </c>
      <c r="N21" s="8">
        <v>32000</v>
      </c>
      <c r="O21" s="10">
        <v>328</v>
      </c>
      <c r="P21" s="14">
        <v>2911</v>
      </c>
      <c r="Q21" s="6" t="s">
        <v>126</v>
      </c>
      <c r="R21" s="6" t="s">
        <v>45</v>
      </c>
      <c r="S21" s="6" t="s">
        <v>45</v>
      </c>
      <c r="T21" s="6" t="s">
        <v>45</v>
      </c>
      <c r="U21" s="10">
        <v>1</v>
      </c>
      <c r="V21" s="6" t="s">
        <v>45</v>
      </c>
      <c r="W21" s="10">
        <v>0</v>
      </c>
      <c r="X21" s="6" t="s">
        <v>45</v>
      </c>
      <c r="Y21" s="6" t="s">
        <v>46</v>
      </c>
      <c r="Z21" s="6" t="s">
        <v>45</v>
      </c>
      <c r="AA21" s="10" t="b">
        <v>0</v>
      </c>
      <c r="AB21" s="10" t="b">
        <v>0</v>
      </c>
      <c r="AC21" s="10" t="b">
        <v>1</v>
      </c>
      <c r="AD21" s="7"/>
      <c r="AE21" s="8">
        <v>0</v>
      </c>
      <c r="AF21" s="6" t="s">
        <v>45</v>
      </c>
      <c r="AG21" s="8">
        <v>0</v>
      </c>
      <c r="AH21" s="11"/>
      <c r="AI21" s="12">
        <v>0</v>
      </c>
    </row>
    <row r="22" spans="1:35" x14ac:dyDescent="0.35">
      <c r="A22" s="5" t="s">
        <v>149</v>
      </c>
      <c r="B22" s="6" t="s">
        <v>45</v>
      </c>
      <c r="C22" s="6" t="s">
        <v>140</v>
      </c>
      <c r="D22" s="6" t="s">
        <v>141</v>
      </c>
      <c r="E22" s="42" t="s">
        <v>1041</v>
      </c>
      <c r="F22" s="42" t="s">
        <v>1997</v>
      </c>
      <c r="G22" s="42" t="s">
        <v>1996</v>
      </c>
      <c r="H22" s="6" t="s">
        <v>45</v>
      </c>
      <c r="I22" s="6" t="s">
        <v>45</v>
      </c>
      <c r="J22" s="6" t="s">
        <v>142</v>
      </c>
      <c r="K22" s="6" t="s">
        <v>42</v>
      </c>
      <c r="L22" s="6" t="s">
        <v>52</v>
      </c>
      <c r="M22" s="7">
        <v>45861</v>
      </c>
      <c r="N22" s="8">
        <v>32000</v>
      </c>
      <c r="O22" s="10">
        <v>328</v>
      </c>
      <c r="P22" s="14">
        <v>2911</v>
      </c>
      <c r="Q22" s="6" t="s">
        <v>126</v>
      </c>
      <c r="R22" s="6" t="s">
        <v>45</v>
      </c>
      <c r="S22" s="6" t="s">
        <v>45</v>
      </c>
      <c r="T22" s="6" t="s">
        <v>45</v>
      </c>
      <c r="U22" s="10">
        <v>1</v>
      </c>
      <c r="V22" s="6" t="s">
        <v>45</v>
      </c>
      <c r="W22" s="10">
        <v>0</v>
      </c>
      <c r="X22" s="6" t="s">
        <v>45</v>
      </c>
      <c r="Y22" s="6" t="s">
        <v>46</v>
      </c>
      <c r="Z22" s="6" t="s">
        <v>45</v>
      </c>
      <c r="AA22" s="10" t="b">
        <v>0</v>
      </c>
      <c r="AB22" s="10" t="b">
        <v>0</v>
      </c>
      <c r="AC22" s="10" t="b">
        <v>1</v>
      </c>
      <c r="AD22" s="7"/>
      <c r="AE22" s="8">
        <v>0</v>
      </c>
      <c r="AF22" s="6" t="s">
        <v>45</v>
      </c>
      <c r="AG22" s="8">
        <v>0</v>
      </c>
      <c r="AH22" s="11"/>
      <c r="AI22" s="12">
        <v>0</v>
      </c>
    </row>
    <row r="23" spans="1:35" x14ac:dyDescent="0.35">
      <c r="A23" s="5" t="s">
        <v>150</v>
      </c>
      <c r="B23" s="6" t="s">
        <v>45</v>
      </c>
      <c r="C23" s="6" t="s">
        <v>140</v>
      </c>
      <c r="D23" s="6" t="s">
        <v>141</v>
      </c>
      <c r="E23" s="42" t="s">
        <v>1041</v>
      </c>
      <c r="F23" s="42" t="s">
        <v>1997</v>
      </c>
      <c r="G23" s="42" t="s">
        <v>1996</v>
      </c>
      <c r="H23" s="6" t="s">
        <v>45</v>
      </c>
      <c r="I23" s="6" t="s">
        <v>45</v>
      </c>
      <c r="J23" s="6" t="s">
        <v>142</v>
      </c>
      <c r="K23" s="6" t="s">
        <v>42</v>
      </c>
      <c r="L23" s="6" t="s">
        <v>52</v>
      </c>
      <c r="M23" s="7">
        <v>45861</v>
      </c>
      <c r="N23" s="8">
        <v>32000</v>
      </c>
      <c r="O23" s="10">
        <v>328</v>
      </c>
      <c r="P23" s="14">
        <v>2911</v>
      </c>
      <c r="Q23" s="6" t="s">
        <v>126</v>
      </c>
      <c r="R23" s="6" t="s">
        <v>45</v>
      </c>
      <c r="S23" s="6" t="s">
        <v>45</v>
      </c>
      <c r="T23" s="6" t="s">
        <v>45</v>
      </c>
      <c r="U23" s="10">
        <v>1</v>
      </c>
      <c r="V23" s="6" t="s">
        <v>45</v>
      </c>
      <c r="W23" s="10">
        <v>0</v>
      </c>
      <c r="X23" s="6" t="s">
        <v>45</v>
      </c>
      <c r="Y23" s="6" t="s">
        <v>46</v>
      </c>
      <c r="Z23" s="6" t="s">
        <v>45</v>
      </c>
      <c r="AA23" s="10" t="b">
        <v>0</v>
      </c>
      <c r="AB23" s="10" t="b">
        <v>0</v>
      </c>
      <c r="AC23" s="10" t="b">
        <v>1</v>
      </c>
      <c r="AD23" s="7"/>
      <c r="AE23" s="8">
        <v>0</v>
      </c>
      <c r="AF23" s="6" t="s">
        <v>45</v>
      </c>
      <c r="AG23" s="8">
        <v>0</v>
      </c>
      <c r="AH23" s="11"/>
      <c r="AI23" s="12">
        <v>0</v>
      </c>
    </row>
    <row r="24" spans="1:35" x14ac:dyDescent="0.35">
      <c r="A24" s="5" t="s">
        <v>192</v>
      </c>
      <c r="B24" s="6" t="s">
        <v>45</v>
      </c>
      <c r="C24" s="6" t="s">
        <v>193</v>
      </c>
      <c r="D24" s="6" t="s">
        <v>67</v>
      </c>
      <c r="E24" s="42" t="s">
        <v>1033</v>
      </c>
      <c r="F24" s="42" t="s">
        <v>1997</v>
      </c>
      <c r="G24" s="42" t="s">
        <v>1996</v>
      </c>
      <c r="H24" s="6" t="s">
        <v>45</v>
      </c>
      <c r="I24" s="6" t="s">
        <v>45</v>
      </c>
      <c r="J24" s="6" t="s">
        <v>194</v>
      </c>
      <c r="K24" s="6" t="s">
        <v>42</v>
      </c>
      <c r="L24" s="6" t="s">
        <v>52</v>
      </c>
      <c r="M24" s="7">
        <v>46018</v>
      </c>
      <c r="N24" s="8">
        <v>68269</v>
      </c>
      <c r="O24" s="10">
        <v>172</v>
      </c>
      <c r="P24" s="14">
        <v>2687</v>
      </c>
      <c r="Q24" s="6" t="s">
        <v>126</v>
      </c>
      <c r="R24" s="6" t="s">
        <v>45</v>
      </c>
      <c r="S24" s="6" t="s">
        <v>45</v>
      </c>
      <c r="T24" s="6" t="s">
        <v>45</v>
      </c>
      <c r="U24" s="10">
        <v>1</v>
      </c>
      <c r="V24" s="6" t="s">
        <v>45</v>
      </c>
      <c r="W24" s="10">
        <v>0</v>
      </c>
      <c r="X24" s="6" t="s">
        <v>45</v>
      </c>
      <c r="Y24" s="6" t="s">
        <v>46</v>
      </c>
      <c r="Z24" s="6" t="s">
        <v>45</v>
      </c>
      <c r="AA24" s="10" t="b">
        <v>0</v>
      </c>
      <c r="AB24" s="10" t="b">
        <v>0</v>
      </c>
      <c r="AC24" s="10" t="b">
        <v>0</v>
      </c>
      <c r="AD24" s="7">
        <v>44491</v>
      </c>
      <c r="AE24" s="8">
        <v>44269</v>
      </c>
      <c r="AF24" s="6" t="s">
        <v>195</v>
      </c>
      <c r="AG24" s="8">
        <v>26687</v>
      </c>
      <c r="AH24" s="11"/>
      <c r="AI24" s="12">
        <v>0</v>
      </c>
    </row>
    <row r="25" spans="1:35" x14ac:dyDescent="0.35">
      <c r="A25" s="5" t="s">
        <v>177</v>
      </c>
      <c r="B25" s="6" t="s">
        <v>45</v>
      </c>
      <c r="C25" s="6" t="s">
        <v>140</v>
      </c>
      <c r="D25" s="6" t="s">
        <v>141</v>
      </c>
      <c r="E25" s="42" t="s">
        <v>1041</v>
      </c>
      <c r="F25" s="42" t="s">
        <v>1997</v>
      </c>
      <c r="G25" s="42" t="s">
        <v>1996</v>
      </c>
      <c r="H25" s="6" t="s">
        <v>45</v>
      </c>
      <c r="I25" s="6" t="s">
        <v>45</v>
      </c>
      <c r="J25" s="6" t="s">
        <v>142</v>
      </c>
      <c r="K25" s="6" t="s">
        <v>42</v>
      </c>
      <c r="L25" s="6" t="s">
        <v>52</v>
      </c>
      <c r="M25" s="7">
        <v>45979</v>
      </c>
      <c r="N25" s="8">
        <v>32000</v>
      </c>
      <c r="O25" s="10">
        <v>210</v>
      </c>
      <c r="P25" s="14">
        <v>2379</v>
      </c>
      <c r="Q25" s="6" t="s">
        <v>126</v>
      </c>
      <c r="R25" s="6" t="s">
        <v>45</v>
      </c>
      <c r="S25" s="6" t="s">
        <v>45</v>
      </c>
      <c r="T25" s="6" t="s">
        <v>45</v>
      </c>
      <c r="U25" s="10">
        <v>1</v>
      </c>
      <c r="V25" s="6" t="s">
        <v>45</v>
      </c>
      <c r="W25" s="10">
        <v>0</v>
      </c>
      <c r="X25" s="6" t="s">
        <v>45</v>
      </c>
      <c r="Y25" s="6" t="s">
        <v>46</v>
      </c>
      <c r="Z25" s="6" t="s">
        <v>45</v>
      </c>
      <c r="AA25" s="10" t="b">
        <v>0</v>
      </c>
      <c r="AB25" s="10" t="b">
        <v>0</v>
      </c>
      <c r="AC25" s="10" t="b">
        <v>1</v>
      </c>
      <c r="AD25" s="7"/>
      <c r="AE25" s="8">
        <v>0</v>
      </c>
      <c r="AF25" s="6" t="s">
        <v>45</v>
      </c>
      <c r="AG25" s="8">
        <v>0</v>
      </c>
      <c r="AH25" s="11"/>
      <c r="AI25" s="12">
        <v>0</v>
      </c>
    </row>
    <row r="26" spans="1:35" x14ac:dyDescent="0.35">
      <c r="A26" s="5" t="s">
        <v>178</v>
      </c>
      <c r="B26" s="6" t="s">
        <v>45</v>
      </c>
      <c r="C26" s="6" t="s">
        <v>140</v>
      </c>
      <c r="D26" s="6" t="s">
        <v>141</v>
      </c>
      <c r="E26" s="42" t="s">
        <v>1041</v>
      </c>
      <c r="F26" s="42" t="s">
        <v>1997</v>
      </c>
      <c r="G26" s="42" t="s">
        <v>1996</v>
      </c>
      <c r="H26" s="6" t="s">
        <v>45</v>
      </c>
      <c r="I26" s="6" t="s">
        <v>45</v>
      </c>
      <c r="J26" s="6" t="s">
        <v>142</v>
      </c>
      <c r="K26" s="6" t="s">
        <v>42</v>
      </c>
      <c r="L26" s="6" t="s">
        <v>52</v>
      </c>
      <c r="M26" s="7">
        <v>45979</v>
      </c>
      <c r="N26" s="8">
        <v>32000</v>
      </c>
      <c r="O26" s="10">
        <v>210</v>
      </c>
      <c r="P26" s="14">
        <v>2379</v>
      </c>
      <c r="Q26" s="6" t="s">
        <v>126</v>
      </c>
      <c r="R26" s="6" t="s">
        <v>45</v>
      </c>
      <c r="S26" s="6" t="s">
        <v>45</v>
      </c>
      <c r="T26" s="6" t="s">
        <v>45</v>
      </c>
      <c r="U26" s="10">
        <v>1</v>
      </c>
      <c r="V26" s="6" t="s">
        <v>45</v>
      </c>
      <c r="W26" s="10">
        <v>0</v>
      </c>
      <c r="X26" s="6" t="s">
        <v>45</v>
      </c>
      <c r="Y26" s="6" t="s">
        <v>46</v>
      </c>
      <c r="Z26" s="6" t="s">
        <v>45</v>
      </c>
      <c r="AA26" s="10" t="b">
        <v>0</v>
      </c>
      <c r="AB26" s="10" t="b">
        <v>0</v>
      </c>
      <c r="AC26" s="10" t="b">
        <v>1</v>
      </c>
      <c r="AD26" s="7"/>
      <c r="AE26" s="8">
        <v>0</v>
      </c>
      <c r="AF26" s="6" t="s">
        <v>45</v>
      </c>
      <c r="AG26" s="8">
        <v>0</v>
      </c>
      <c r="AH26" s="11"/>
      <c r="AI26" s="12">
        <v>0</v>
      </c>
    </row>
    <row r="27" spans="1:35" x14ac:dyDescent="0.35">
      <c r="A27" s="5" t="s">
        <v>179</v>
      </c>
      <c r="B27" s="6" t="s">
        <v>45</v>
      </c>
      <c r="C27" s="6" t="s">
        <v>140</v>
      </c>
      <c r="D27" s="6" t="s">
        <v>141</v>
      </c>
      <c r="E27" s="42" t="s">
        <v>1041</v>
      </c>
      <c r="F27" s="42" t="s">
        <v>1997</v>
      </c>
      <c r="G27" s="42" t="s">
        <v>1996</v>
      </c>
      <c r="H27" s="6" t="s">
        <v>45</v>
      </c>
      <c r="I27" s="6" t="s">
        <v>45</v>
      </c>
      <c r="J27" s="6" t="s">
        <v>142</v>
      </c>
      <c r="K27" s="6" t="s">
        <v>42</v>
      </c>
      <c r="L27" s="6" t="s">
        <v>52</v>
      </c>
      <c r="M27" s="7">
        <v>45979</v>
      </c>
      <c r="N27" s="8">
        <v>32000</v>
      </c>
      <c r="O27" s="10">
        <v>210</v>
      </c>
      <c r="P27" s="14">
        <v>2379</v>
      </c>
      <c r="Q27" s="6" t="s">
        <v>126</v>
      </c>
      <c r="R27" s="6" t="s">
        <v>45</v>
      </c>
      <c r="S27" s="6" t="s">
        <v>45</v>
      </c>
      <c r="T27" s="6" t="s">
        <v>45</v>
      </c>
      <c r="U27" s="10">
        <v>1</v>
      </c>
      <c r="V27" s="6" t="s">
        <v>45</v>
      </c>
      <c r="W27" s="10">
        <v>0</v>
      </c>
      <c r="X27" s="6" t="s">
        <v>45</v>
      </c>
      <c r="Y27" s="6" t="s">
        <v>46</v>
      </c>
      <c r="Z27" s="6" t="s">
        <v>45</v>
      </c>
      <c r="AA27" s="10" t="b">
        <v>0</v>
      </c>
      <c r="AB27" s="10" t="b">
        <v>0</v>
      </c>
      <c r="AC27" s="10" t="b">
        <v>1</v>
      </c>
      <c r="AD27" s="7"/>
      <c r="AE27" s="8">
        <v>0</v>
      </c>
      <c r="AF27" s="6" t="s">
        <v>45</v>
      </c>
      <c r="AG27" s="8">
        <v>0</v>
      </c>
      <c r="AH27" s="11"/>
      <c r="AI27" s="12">
        <v>0</v>
      </c>
    </row>
    <row r="28" spans="1:35" x14ac:dyDescent="0.35">
      <c r="A28" s="5" t="s">
        <v>180</v>
      </c>
      <c r="B28" s="6" t="s">
        <v>45</v>
      </c>
      <c r="C28" s="6" t="s">
        <v>140</v>
      </c>
      <c r="D28" s="6" t="s">
        <v>141</v>
      </c>
      <c r="E28" s="42" t="s">
        <v>1041</v>
      </c>
      <c r="F28" s="42" t="s">
        <v>1997</v>
      </c>
      <c r="G28" s="42" t="s">
        <v>1996</v>
      </c>
      <c r="H28" s="6" t="s">
        <v>45</v>
      </c>
      <c r="I28" s="6" t="s">
        <v>45</v>
      </c>
      <c r="J28" s="6" t="s">
        <v>142</v>
      </c>
      <c r="K28" s="6" t="s">
        <v>42</v>
      </c>
      <c r="L28" s="6" t="s">
        <v>52</v>
      </c>
      <c r="M28" s="7">
        <v>45979</v>
      </c>
      <c r="N28" s="8">
        <v>32000</v>
      </c>
      <c r="O28" s="10">
        <v>210</v>
      </c>
      <c r="P28" s="14">
        <v>2379</v>
      </c>
      <c r="Q28" s="6" t="s">
        <v>126</v>
      </c>
      <c r="R28" s="6" t="s">
        <v>45</v>
      </c>
      <c r="S28" s="6" t="s">
        <v>45</v>
      </c>
      <c r="T28" s="6" t="s">
        <v>45</v>
      </c>
      <c r="U28" s="10">
        <v>1</v>
      </c>
      <c r="V28" s="6" t="s">
        <v>45</v>
      </c>
      <c r="W28" s="10">
        <v>0</v>
      </c>
      <c r="X28" s="6" t="s">
        <v>45</v>
      </c>
      <c r="Y28" s="6" t="s">
        <v>46</v>
      </c>
      <c r="Z28" s="6" t="s">
        <v>45</v>
      </c>
      <c r="AA28" s="10" t="b">
        <v>0</v>
      </c>
      <c r="AB28" s="10" t="b">
        <v>0</v>
      </c>
      <c r="AC28" s="10" t="b">
        <v>1</v>
      </c>
      <c r="AD28" s="7"/>
      <c r="AE28" s="8">
        <v>0</v>
      </c>
      <c r="AF28" s="6" t="s">
        <v>45</v>
      </c>
      <c r="AG28" s="8">
        <v>0</v>
      </c>
      <c r="AH28" s="11"/>
      <c r="AI28" s="12">
        <v>0</v>
      </c>
    </row>
    <row r="29" spans="1:35" x14ac:dyDescent="0.35">
      <c r="A29" s="5" t="s">
        <v>181</v>
      </c>
      <c r="B29" s="6" t="s">
        <v>45</v>
      </c>
      <c r="C29" s="6" t="s">
        <v>140</v>
      </c>
      <c r="D29" s="6" t="s">
        <v>141</v>
      </c>
      <c r="E29" s="42" t="s">
        <v>1041</v>
      </c>
      <c r="F29" s="42" t="s">
        <v>1997</v>
      </c>
      <c r="G29" s="42" t="s">
        <v>1996</v>
      </c>
      <c r="H29" s="6" t="s">
        <v>45</v>
      </c>
      <c r="I29" s="6" t="s">
        <v>45</v>
      </c>
      <c r="J29" s="6" t="s">
        <v>142</v>
      </c>
      <c r="K29" s="6" t="s">
        <v>42</v>
      </c>
      <c r="L29" s="6" t="s">
        <v>52</v>
      </c>
      <c r="M29" s="7">
        <v>45979</v>
      </c>
      <c r="N29" s="8">
        <v>32000</v>
      </c>
      <c r="O29" s="10">
        <v>210</v>
      </c>
      <c r="P29" s="14">
        <v>2379</v>
      </c>
      <c r="Q29" s="6" t="s">
        <v>126</v>
      </c>
      <c r="R29" s="6" t="s">
        <v>45</v>
      </c>
      <c r="S29" s="6" t="s">
        <v>45</v>
      </c>
      <c r="T29" s="6" t="s">
        <v>45</v>
      </c>
      <c r="U29" s="10">
        <v>1</v>
      </c>
      <c r="V29" s="6" t="s">
        <v>45</v>
      </c>
      <c r="W29" s="10">
        <v>0</v>
      </c>
      <c r="X29" s="6" t="s">
        <v>45</v>
      </c>
      <c r="Y29" s="6" t="s">
        <v>46</v>
      </c>
      <c r="Z29" s="6" t="s">
        <v>45</v>
      </c>
      <c r="AA29" s="10" t="b">
        <v>0</v>
      </c>
      <c r="AB29" s="10" t="b">
        <v>0</v>
      </c>
      <c r="AC29" s="10" t="b">
        <v>1</v>
      </c>
      <c r="AD29" s="7"/>
      <c r="AE29" s="8">
        <v>0</v>
      </c>
      <c r="AF29" s="6" t="s">
        <v>45</v>
      </c>
      <c r="AG29" s="8">
        <v>0</v>
      </c>
      <c r="AH29" s="11"/>
      <c r="AI29" s="12">
        <v>0</v>
      </c>
    </row>
    <row r="30" spans="1:35" x14ac:dyDescent="0.35">
      <c r="A30" s="5" t="s">
        <v>182</v>
      </c>
      <c r="B30" s="6" t="s">
        <v>45</v>
      </c>
      <c r="C30" s="6" t="s">
        <v>140</v>
      </c>
      <c r="D30" s="6" t="s">
        <v>141</v>
      </c>
      <c r="E30" s="42" t="s">
        <v>1041</v>
      </c>
      <c r="F30" s="42" t="s">
        <v>1997</v>
      </c>
      <c r="G30" s="42" t="s">
        <v>1996</v>
      </c>
      <c r="H30" s="6" t="s">
        <v>45</v>
      </c>
      <c r="I30" s="6" t="s">
        <v>45</v>
      </c>
      <c r="J30" s="6" t="s">
        <v>142</v>
      </c>
      <c r="K30" s="6" t="s">
        <v>42</v>
      </c>
      <c r="L30" s="6" t="s">
        <v>52</v>
      </c>
      <c r="M30" s="7">
        <v>45979</v>
      </c>
      <c r="N30" s="8">
        <v>32000</v>
      </c>
      <c r="O30" s="10">
        <v>210</v>
      </c>
      <c r="P30" s="14">
        <v>2379</v>
      </c>
      <c r="Q30" s="6" t="s">
        <v>126</v>
      </c>
      <c r="R30" s="6" t="s">
        <v>45</v>
      </c>
      <c r="S30" s="6" t="s">
        <v>45</v>
      </c>
      <c r="T30" s="6" t="s">
        <v>45</v>
      </c>
      <c r="U30" s="10">
        <v>1</v>
      </c>
      <c r="V30" s="6" t="s">
        <v>45</v>
      </c>
      <c r="W30" s="10">
        <v>0</v>
      </c>
      <c r="X30" s="6" t="s">
        <v>45</v>
      </c>
      <c r="Y30" s="6" t="s">
        <v>46</v>
      </c>
      <c r="Z30" s="6" t="s">
        <v>45</v>
      </c>
      <c r="AA30" s="10" t="b">
        <v>0</v>
      </c>
      <c r="AB30" s="10" t="b">
        <v>0</v>
      </c>
      <c r="AC30" s="10" t="b">
        <v>1</v>
      </c>
      <c r="AD30" s="7"/>
      <c r="AE30" s="8">
        <v>0</v>
      </c>
      <c r="AF30" s="6" t="s">
        <v>45</v>
      </c>
      <c r="AG30" s="8">
        <v>0</v>
      </c>
      <c r="AH30" s="11"/>
      <c r="AI30" s="12">
        <v>0</v>
      </c>
    </row>
    <row r="31" spans="1:35" x14ac:dyDescent="0.35">
      <c r="A31" s="5" t="s">
        <v>183</v>
      </c>
      <c r="B31" s="6" t="s">
        <v>45</v>
      </c>
      <c r="C31" s="6" t="s">
        <v>140</v>
      </c>
      <c r="D31" s="6" t="s">
        <v>141</v>
      </c>
      <c r="E31" s="42" t="s">
        <v>1041</v>
      </c>
      <c r="F31" s="42" t="s">
        <v>1997</v>
      </c>
      <c r="G31" s="42" t="s">
        <v>1996</v>
      </c>
      <c r="H31" s="6" t="s">
        <v>45</v>
      </c>
      <c r="I31" s="6" t="s">
        <v>45</v>
      </c>
      <c r="J31" s="6" t="s">
        <v>142</v>
      </c>
      <c r="K31" s="6" t="s">
        <v>42</v>
      </c>
      <c r="L31" s="6" t="s">
        <v>52</v>
      </c>
      <c r="M31" s="7">
        <v>45979</v>
      </c>
      <c r="N31" s="8">
        <v>32000</v>
      </c>
      <c r="O31" s="10">
        <v>210</v>
      </c>
      <c r="P31" s="14">
        <v>2379</v>
      </c>
      <c r="Q31" s="6" t="s">
        <v>126</v>
      </c>
      <c r="R31" s="6" t="s">
        <v>45</v>
      </c>
      <c r="S31" s="6" t="s">
        <v>45</v>
      </c>
      <c r="T31" s="6" t="s">
        <v>45</v>
      </c>
      <c r="U31" s="10">
        <v>1</v>
      </c>
      <c r="V31" s="6" t="s">
        <v>45</v>
      </c>
      <c r="W31" s="10">
        <v>0</v>
      </c>
      <c r="X31" s="6" t="s">
        <v>45</v>
      </c>
      <c r="Y31" s="6" t="s">
        <v>46</v>
      </c>
      <c r="Z31" s="6" t="s">
        <v>45</v>
      </c>
      <c r="AA31" s="10" t="b">
        <v>0</v>
      </c>
      <c r="AB31" s="10" t="b">
        <v>0</v>
      </c>
      <c r="AC31" s="10" t="b">
        <v>1</v>
      </c>
      <c r="AD31" s="7"/>
      <c r="AE31" s="8">
        <v>0</v>
      </c>
      <c r="AF31" s="6" t="s">
        <v>45</v>
      </c>
      <c r="AG31" s="8">
        <v>0</v>
      </c>
      <c r="AH31" s="11"/>
      <c r="AI31" s="12">
        <v>0</v>
      </c>
    </row>
    <row r="32" spans="1:35" x14ac:dyDescent="0.35">
      <c r="A32" s="5" t="s">
        <v>184</v>
      </c>
      <c r="B32" s="6" t="s">
        <v>45</v>
      </c>
      <c r="C32" s="6" t="s">
        <v>140</v>
      </c>
      <c r="D32" s="6" t="s">
        <v>141</v>
      </c>
      <c r="E32" s="42" t="s">
        <v>1041</v>
      </c>
      <c r="F32" s="42" t="s">
        <v>1997</v>
      </c>
      <c r="G32" s="42" t="s">
        <v>1996</v>
      </c>
      <c r="H32" s="6" t="s">
        <v>45</v>
      </c>
      <c r="I32" s="6" t="s">
        <v>45</v>
      </c>
      <c r="J32" s="6" t="s">
        <v>142</v>
      </c>
      <c r="K32" s="6" t="s">
        <v>42</v>
      </c>
      <c r="L32" s="6" t="s">
        <v>52</v>
      </c>
      <c r="M32" s="7">
        <v>45979</v>
      </c>
      <c r="N32" s="8">
        <v>32000</v>
      </c>
      <c r="O32" s="10">
        <v>210</v>
      </c>
      <c r="P32" s="14">
        <v>2379</v>
      </c>
      <c r="Q32" s="6" t="s">
        <v>126</v>
      </c>
      <c r="R32" s="6" t="s">
        <v>45</v>
      </c>
      <c r="S32" s="6" t="s">
        <v>45</v>
      </c>
      <c r="T32" s="6" t="s">
        <v>45</v>
      </c>
      <c r="U32" s="10">
        <v>1</v>
      </c>
      <c r="V32" s="6" t="s">
        <v>45</v>
      </c>
      <c r="W32" s="10">
        <v>0</v>
      </c>
      <c r="X32" s="6" t="s">
        <v>45</v>
      </c>
      <c r="Y32" s="6" t="s">
        <v>46</v>
      </c>
      <c r="Z32" s="6" t="s">
        <v>45</v>
      </c>
      <c r="AA32" s="10" t="b">
        <v>0</v>
      </c>
      <c r="AB32" s="10" t="b">
        <v>0</v>
      </c>
      <c r="AC32" s="10" t="b">
        <v>1</v>
      </c>
      <c r="AD32" s="7"/>
      <c r="AE32" s="8">
        <v>0</v>
      </c>
      <c r="AF32" s="6" t="s">
        <v>45</v>
      </c>
      <c r="AG32" s="8">
        <v>0</v>
      </c>
      <c r="AH32" s="11"/>
      <c r="AI32" s="12">
        <v>0</v>
      </c>
    </row>
    <row r="33" spans="1:35" x14ac:dyDescent="0.35">
      <c r="A33" s="5" t="s">
        <v>185</v>
      </c>
      <c r="B33" s="6" t="s">
        <v>45</v>
      </c>
      <c r="C33" s="6" t="s">
        <v>140</v>
      </c>
      <c r="D33" s="6" t="s">
        <v>141</v>
      </c>
      <c r="E33" s="42" t="s">
        <v>1041</v>
      </c>
      <c r="F33" s="42" t="s">
        <v>1997</v>
      </c>
      <c r="G33" s="42" t="s">
        <v>1996</v>
      </c>
      <c r="H33" s="6" t="s">
        <v>45</v>
      </c>
      <c r="I33" s="6" t="s">
        <v>45</v>
      </c>
      <c r="J33" s="6" t="s">
        <v>142</v>
      </c>
      <c r="K33" s="6" t="s">
        <v>42</v>
      </c>
      <c r="L33" s="6" t="s">
        <v>52</v>
      </c>
      <c r="M33" s="7">
        <v>45979</v>
      </c>
      <c r="N33" s="8">
        <v>32000</v>
      </c>
      <c r="O33" s="10">
        <v>210</v>
      </c>
      <c r="P33" s="14">
        <v>2379</v>
      </c>
      <c r="Q33" s="6" t="s">
        <v>126</v>
      </c>
      <c r="R33" s="6" t="s">
        <v>45</v>
      </c>
      <c r="S33" s="6" t="s">
        <v>45</v>
      </c>
      <c r="T33" s="6" t="s">
        <v>45</v>
      </c>
      <c r="U33" s="10">
        <v>1</v>
      </c>
      <c r="V33" s="6" t="s">
        <v>45</v>
      </c>
      <c r="W33" s="10">
        <v>0</v>
      </c>
      <c r="X33" s="6" t="s">
        <v>45</v>
      </c>
      <c r="Y33" s="6" t="s">
        <v>46</v>
      </c>
      <c r="Z33" s="6" t="s">
        <v>45</v>
      </c>
      <c r="AA33" s="10" t="b">
        <v>0</v>
      </c>
      <c r="AB33" s="10" t="b">
        <v>0</v>
      </c>
      <c r="AC33" s="10" t="b">
        <v>1</v>
      </c>
      <c r="AD33" s="7"/>
      <c r="AE33" s="8">
        <v>0</v>
      </c>
      <c r="AF33" s="6" t="s">
        <v>45</v>
      </c>
      <c r="AG33" s="8">
        <v>0</v>
      </c>
      <c r="AH33" s="11"/>
      <c r="AI33" s="12">
        <v>0</v>
      </c>
    </row>
    <row r="34" spans="1:35" x14ac:dyDescent="0.35">
      <c r="A34" s="5" t="s">
        <v>230</v>
      </c>
      <c r="B34" s="6" t="s">
        <v>45</v>
      </c>
      <c r="C34" s="6" t="s">
        <v>193</v>
      </c>
      <c r="D34" s="6" t="s">
        <v>124</v>
      </c>
      <c r="E34" s="42" t="s">
        <v>725</v>
      </c>
      <c r="F34" s="42" t="s">
        <v>2002</v>
      </c>
      <c r="G34" s="42" t="s">
        <v>1996</v>
      </c>
      <c r="H34" s="6" t="s">
        <v>45</v>
      </c>
      <c r="I34" s="6" t="s">
        <v>45</v>
      </c>
      <c r="J34" s="6" t="s">
        <v>213</v>
      </c>
      <c r="K34" s="6" t="s">
        <v>42</v>
      </c>
      <c r="L34" s="6" t="s">
        <v>52</v>
      </c>
      <c r="M34" s="7">
        <v>46076</v>
      </c>
      <c r="N34" s="8">
        <v>98664</v>
      </c>
      <c r="O34" s="10">
        <v>114</v>
      </c>
      <c r="P34" s="14">
        <v>1985</v>
      </c>
      <c r="Q34" s="6" t="s">
        <v>126</v>
      </c>
      <c r="R34" s="6" t="s">
        <v>45</v>
      </c>
      <c r="S34" s="6" t="s">
        <v>45</v>
      </c>
      <c r="T34" s="6" t="s">
        <v>45</v>
      </c>
      <c r="U34" s="10">
        <v>1</v>
      </c>
      <c r="V34" s="6" t="s">
        <v>45</v>
      </c>
      <c r="W34" s="10">
        <v>0</v>
      </c>
      <c r="X34" s="6" t="s">
        <v>45</v>
      </c>
      <c r="Y34" s="6" t="s">
        <v>46</v>
      </c>
      <c r="Z34" s="6" t="s">
        <v>45</v>
      </c>
      <c r="AA34" s="10" t="b">
        <v>0</v>
      </c>
      <c r="AB34" s="10" t="b">
        <v>0</v>
      </c>
      <c r="AC34" s="10" t="b">
        <v>0</v>
      </c>
      <c r="AD34" s="7">
        <v>45388</v>
      </c>
      <c r="AE34" s="8">
        <v>86664</v>
      </c>
      <c r="AF34" s="6" t="s">
        <v>231</v>
      </c>
      <c r="AG34" s="8">
        <v>13985</v>
      </c>
      <c r="AH34" s="11"/>
      <c r="AI34" s="12">
        <v>0</v>
      </c>
    </row>
    <row r="35" spans="1:35" x14ac:dyDescent="0.35">
      <c r="A35" s="5" t="s">
        <v>186</v>
      </c>
      <c r="B35" s="6" t="s">
        <v>45</v>
      </c>
      <c r="C35" s="6" t="s">
        <v>187</v>
      </c>
      <c r="D35" s="6" t="s">
        <v>141</v>
      </c>
      <c r="E35" s="42" t="s">
        <v>1041</v>
      </c>
      <c r="F35" s="42" t="s">
        <v>1997</v>
      </c>
      <c r="G35" s="42" t="s">
        <v>1996</v>
      </c>
      <c r="H35" s="6" t="s">
        <v>45</v>
      </c>
      <c r="I35" s="6" t="s">
        <v>45</v>
      </c>
      <c r="J35" s="6" t="s">
        <v>125</v>
      </c>
      <c r="K35" s="6" t="s">
        <v>42</v>
      </c>
      <c r="L35" s="6" t="s">
        <v>52</v>
      </c>
      <c r="M35" s="7">
        <v>45989</v>
      </c>
      <c r="N35" s="8">
        <v>33153</v>
      </c>
      <c r="O35" s="10">
        <v>200</v>
      </c>
      <c r="P35" s="14">
        <v>1758</v>
      </c>
      <c r="Q35" s="6" t="s">
        <v>109</v>
      </c>
      <c r="R35" s="6" t="s">
        <v>45</v>
      </c>
      <c r="S35" s="6" t="s">
        <v>45</v>
      </c>
      <c r="T35" s="6" t="s">
        <v>45</v>
      </c>
      <c r="U35" s="10">
        <v>1</v>
      </c>
      <c r="V35" s="6" t="s">
        <v>45</v>
      </c>
      <c r="W35" s="10">
        <v>0</v>
      </c>
      <c r="X35" s="6" t="s">
        <v>45</v>
      </c>
      <c r="Y35" s="6" t="s">
        <v>46</v>
      </c>
      <c r="Z35" s="6" t="s">
        <v>45</v>
      </c>
      <c r="AA35" s="10" t="b">
        <v>0</v>
      </c>
      <c r="AB35" s="10" t="b">
        <v>0</v>
      </c>
      <c r="AC35" s="10" t="b">
        <v>0</v>
      </c>
      <c r="AD35" s="7"/>
      <c r="AE35" s="8">
        <v>0</v>
      </c>
      <c r="AF35" s="6" t="s">
        <v>45</v>
      </c>
      <c r="AG35" s="8">
        <v>0</v>
      </c>
      <c r="AH35" s="11"/>
      <c r="AI35" s="12">
        <v>0</v>
      </c>
    </row>
    <row r="36" spans="1:35" x14ac:dyDescent="0.35">
      <c r="A36" s="5" t="s">
        <v>236</v>
      </c>
      <c r="B36" s="6" t="s">
        <v>45</v>
      </c>
      <c r="C36" s="6" t="s">
        <v>152</v>
      </c>
      <c r="D36" s="6" t="s">
        <v>124</v>
      </c>
      <c r="E36" s="42" t="s">
        <v>725</v>
      </c>
      <c r="F36" s="42" t="s">
        <v>2002</v>
      </c>
      <c r="G36" s="42" t="s">
        <v>1996</v>
      </c>
      <c r="H36" s="6" t="s">
        <v>45</v>
      </c>
      <c r="I36" s="6" t="s">
        <v>45</v>
      </c>
      <c r="J36" s="6" t="s">
        <v>142</v>
      </c>
      <c r="K36" s="6" t="s">
        <v>42</v>
      </c>
      <c r="L36" s="6" t="s">
        <v>52</v>
      </c>
      <c r="M36" s="7">
        <v>46090</v>
      </c>
      <c r="N36" s="8">
        <v>98914</v>
      </c>
      <c r="O36" s="10">
        <v>100</v>
      </c>
      <c r="P36" s="14">
        <v>1735</v>
      </c>
      <c r="Q36" s="6" t="s">
        <v>126</v>
      </c>
      <c r="R36" s="6" t="s">
        <v>45</v>
      </c>
      <c r="S36" s="6" t="s">
        <v>45</v>
      </c>
      <c r="T36" s="6" t="s">
        <v>45</v>
      </c>
      <c r="U36" s="10">
        <v>1</v>
      </c>
      <c r="V36" s="6" t="s">
        <v>45</v>
      </c>
      <c r="W36" s="10">
        <v>0</v>
      </c>
      <c r="X36" s="6" t="s">
        <v>45</v>
      </c>
      <c r="Y36" s="6" t="s">
        <v>46</v>
      </c>
      <c r="Z36" s="6" t="s">
        <v>45</v>
      </c>
      <c r="AA36" s="10" t="b">
        <v>0</v>
      </c>
      <c r="AB36" s="10" t="b">
        <v>0</v>
      </c>
      <c r="AC36" s="10" t="b">
        <v>0</v>
      </c>
      <c r="AD36" s="7">
        <v>44197</v>
      </c>
      <c r="AE36" s="8">
        <v>66914</v>
      </c>
      <c r="AF36" s="6" t="s">
        <v>237</v>
      </c>
      <c r="AG36" s="8">
        <v>33735</v>
      </c>
      <c r="AH36" s="11"/>
      <c r="AI36" s="12">
        <v>0</v>
      </c>
    </row>
    <row r="37" spans="1:35" x14ac:dyDescent="0.35">
      <c r="A37" s="5" t="s">
        <v>475</v>
      </c>
      <c r="B37" s="6" t="s">
        <v>45</v>
      </c>
      <c r="C37" s="6" t="s">
        <v>476</v>
      </c>
      <c r="D37" s="6" t="s">
        <v>477</v>
      </c>
      <c r="E37" s="42" t="s">
        <v>2033</v>
      </c>
      <c r="F37" s="42" t="s">
        <v>2034</v>
      </c>
      <c r="G37" s="42" t="s">
        <v>2010</v>
      </c>
      <c r="H37" s="6" t="s">
        <v>478</v>
      </c>
      <c r="I37" s="6" t="s">
        <v>479</v>
      </c>
      <c r="J37" s="6" t="s">
        <v>480</v>
      </c>
      <c r="K37" s="6" t="s">
        <v>42</v>
      </c>
      <c r="L37" s="6" t="s">
        <v>52</v>
      </c>
      <c r="M37" s="7">
        <v>73050</v>
      </c>
      <c r="N37" s="8">
        <v>100</v>
      </c>
      <c r="O37" s="10">
        <v>0</v>
      </c>
      <c r="P37" s="14">
        <v>1642</v>
      </c>
      <c r="Q37" s="6" t="s">
        <v>126</v>
      </c>
      <c r="R37" s="6" t="s">
        <v>45</v>
      </c>
      <c r="S37" s="6" t="s">
        <v>100</v>
      </c>
      <c r="T37" s="6" t="s">
        <v>476</v>
      </c>
      <c r="U37" s="10">
        <v>0</v>
      </c>
      <c r="V37" s="6" t="s">
        <v>45</v>
      </c>
      <c r="W37" s="10">
        <v>0</v>
      </c>
      <c r="X37" s="6" t="s">
        <v>45</v>
      </c>
      <c r="Y37" s="6" t="s">
        <v>46</v>
      </c>
      <c r="Z37" s="6" t="s">
        <v>45</v>
      </c>
      <c r="AA37" s="10" t="b">
        <v>0</v>
      </c>
      <c r="AB37" s="10" t="b">
        <v>0</v>
      </c>
      <c r="AC37" s="10" t="b">
        <v>0</v>
      </c>
      <c r="AD37" s="7">
        <v>46182</v>
      </c>
      <c r="AE37" s="8">
        <v>1544</v>
      </c>
      <c r="AF37" s="6" t="s">
        <v>481</v>
      </c>
      <c r="AG37" s="8">
        <v>198</v>
      </c>
      <c r="AH37" s="11"/>
      <c r="AI37" s="12">
        <v>0</v>
      </c>
    </row>
    <row r="38" spans="1:35" x14ac:dyDescent="0.35">
      <c r="A38" s="5" t="s">
        <v>208</v>
      </c>
      <c r="B38" s="6" t="s">
        <v>45</v>
      </c>
      <c r="C38" s="6" t="s">
        <v>209</v>
      </c>
      <c r="D38" s="6" t="s">
        <v>210</v>
      </c>
      <c r="E38" s="42" t="s">
        <v>2047</v>
      </c>
      <c r="F38" s="42" t="s">
        <v>2009</v>
      </c>
      <c r="G38" s="42" t="s">
        <v>2010</v>
      </c>
      <c r="H38" s="6" t="s">
        <v>211</v>
      </c>
      <c r="I38" s="6" t="s">
        <v>212</v>
      </c>
      <c r="J38" s="6" t="s">
        <v>213</v>
      </c>
      <c r="K38" s="6" t="s">
        <v>42</v>
      </c>
      <c r="L38" s="6" t="s">
        <v>172</v>
      </c>
      <c r="M38" s="7">
        <v>46044</v>
      </c>
      <c r="N38" s="8">
        <v>12000</v>
      </c>
      <c r="O38" s="10">
        <v>144</v>
      </c>
      <c r="P38" s="14">
        <v>1477</v>
      </c>
      <c r="Q38" s="6" t="s">
        <v>126</v>
      </c>
      <c r="R38" s="6" t="s">
        <v>45</v>
      </c>
      <c r="S38" s="6" t="s">
        <v>45</v>
      </c>
      <c r="T38" s="6" t="s">
        <v>45</v>
      </c>
      <c r="U38" s="10">
        <v>1</v>
      </c>
      <c r="V38" s="6" t="s">
        <v>45</v>
      </c>
      <c r="W38" s="10">
        <v>0</v>
      </c>
      <c r="X38" s="6" t="s">
        <v>45</v>
      </c>
      <c r="Y38" s="6" t="s">
        <v>46</v>
      </c>
      <c r="Z38" s="6" t="s">
        <v>45</v>
      </c>
      <c r="AA38" s="10" t="b">
        <v>0</v>
      </c>
      <c r="AB38" s="10" t="b">
        <v>0</v>
      </c>
      <c r="AC38" s="10" t="b">
        <v>1</v>
      </c>
      <c r="AD38" s="7"/>
      <c r="AE38" s="8">
        <v>0</v>
      </c>
      <c r="AF38" s="6" t="s">
        <v>45</v>
      </c>
      <c r="AG38" s="8">
        <v>0</v>
      </c>
      <c r="AH38" s="11"/>
      <c r="AI38" s="12">
        <v>0</v>
      </c>
    </row>
    <row r="39" spans="1:35" x14ac:dyDescent="0.35">
      <c r="A39" s="5" t="s">
        <v>255</v>
      </c>
      <c r="B39" s="6" t="s">
        <v>45</v>
      </c>
      <c r="C39" s="6" t="s">
        <v>193</v>
      </c>
      <c r="D39" s="6" t="s">
        <v>67</v>
      </c>
      <c r="E39" s="42" t="s">
        <v>1033</v>
      </c>
      <c r="F39" s="42" t="s">
        <v>1997</v>
      </c>
      <c r="G39" s="42" t="s">
        <v>1996</v>
      </c>
      <c r="H39" s="6" t="s">
        <v>45</v>
      </c>
      <c r="I39" s="6" t="s">
        <v>45</v>
      </c>
      <c r="J39" s="6" t="s">
        <v>194</v>
      </c>
      <c r="K39" s="6" t="s">
        <v>42</v>
      </c>
      <c r="L39" s="6" t="s">
        <v>52</v>
      </c>
      <c r="M39" s="7">
        <v>46095</v>
      </c>
      <c r="N39" s="8">
        <v>69481</v>
      </c>
      <c r="O39" s="10">
        <v>95</v>
      </c>
      <c r="P39" s="14">
        <v>1475</v>
      </c>
      <c r="Q39" s="6" t="s">
        <v>126</v>
      </c>
      <c r="R39" s="6" t="s">
        <v>45</v>
      </c>
      <c r="S39" s="6" t="s">
        <v>45</v>
      </c>
      <c r="T39" s="6" t="s">
        <v>45</v>
      </c>
      <c r="U39" s="10">
        <v>1</v>
      </c>
      <c r="V39" s="6" t="s">
        <v>45</v>
      </c>
      <c r="W39" s="10">
        <v>0</v>
      </c>
      <c r="X39" s="6" t="s">
        <v>45</v>
      </c>
      <c r="Y39" s="6" t="s">
        <v>46</v>
      </c>
      <c r="Z39" s="6" t="s">
        <v>45</v>
      </c>
      <c r="AA39" s="10" t="b">
        <v>0</v>
      </c>
      <c r="AB39" s="10" t="b">
        <v>0</v>
      </c>
      <c r="AC39" s="10" t="b">
        <v>0</v>
      </c>
      <c r="AD39" s="7">
        <v>44562</v>
      </c>
      <c r="AE39" s="8">
        <v>45481</v>
      </c>
      <c r="AF39" s="6" t="s">
        <v>256</v>
      </c>
      <c r="AG39" s="8">
        <v>25475</v>
      </c>
      <c r="AH39" s="11"/>
      <c r="AI39" s="12">
        <v>0</v>
      </c>
    </row>
    <row r="40" spans="1:35" x14ac:dyDescent="0.35">
      <c r="A40" s="5" t="s">
        <v>188</v>
      </c>
      <c r="B40" s="6" t="s">
        <v>45</v>
      </c>
      <c r="C40" s="6" t="s">
        <v>189</v>
      </c>
      <c r="D40" s="6" t="s">
        <v>38</v>
      </c>
      <c r="E40" s="42" t="s">
        <v>803</v>
      </c>
      <c r="F40" s="42" t="s">
        <v>2018</v>
      </c>
      <c r="G40" s="42" t="s">
        <v>2006</v>
      </c>
      <c r="H40" s="6" t="s">
        <v>45</v>
      </c>
      <c r="I40" s="6" t="s">
        <v>45</v>
      </c>
      <c r="J40" s="6" t="s">
        <v>190</v>
      </c>
      <c r="K40" s="6" t="s">
        <v>42</v>
      </c>
      <c r="L40" s="6" t="s">
        <v>52</v>
      </c>
      <c r="M40" s="7">
        <v>46013</v>
      </c>
      <c r="N40" s="8">
        <v>18520</v>
      </c>
      <c r="O40" s="10">
        <v>176</v>
      </c>
      <c r="P40" s="14">
        <v>1435</v>
      </c>
      <c r="Q40" s="6" t="s">
        <v>109</v>
      </c>
      <c r="R40" s="6" t="s">
        <v>45</v>
      </c>
      <c r="S40" s="6" t="s">
        <v>45</v>
      </c>
      <c r="T40" s="6" t="s">
        <v>45</v>
      </c>
      <c r="U40" s="10">
        <v>1</v>
      </c>
      <c r="V40" s="6" t="s">
        <v>45</v>
      </c>
      <c r="W40" s="10">
        <v>0</v>
      </c>
      <c r="X40" s="6" t="s">
        <v>45</v>
      </c>
      <c r="Y40" s="6" t="s">
        <v>46</v>
      </c>
      <c r="Z40" s="6" t="s">
        <v>45</v>
      </c>
      <c r="AA40" s="10" t="b">
        <v>0</v>
      </c>
      <c r="AB40" s="10" t="b">
        <v>0</v>
      </c>
      <c r="AC40" s="10" t="b">
        <v>0</v>
      </c>
      <c r="AD40" s="7">
        <v>45414</v>
      </c>
      <c r="AE40" s="8">
        <v>12520</v>
      </c>
      <c r="AF40" s="6" t="s">
        <v>191</v>
      </c>
      <c r="AG40" s="8">
        <v>7435</v>
      </c>
      <c r="AH40" s="11"/>
      <c r="AI40" s="12">
        <v>0</v>
      </c>
    </row>
    <row r="41" spans="1:35" x14ac:dyDescent="0.35">
      <c r="A41" s="5" t="s">
        <v>225</v>
      </c>
      <c r="B41" s="6" t="s">
        <v>45</v>
      </c>
      <c r="C41" s="6" t="s">
        <v>187</v>
      </c>
      <c r="D41" s="6" t="s">
        <v>141</v>
      </c>
      <c r="E41" s="42" t="s">
        <v>1041</v>
      </c>
      <c r="F41" s="42" t="s">
        <v>1997</v>
      </c>
      <c r="G41" s="42" t="s">
        <v>1996</v>
      </c>
      <c r="H41" s="6" t="s">
        <v>45</v>
      </c>
      <c r="I41" s="6" t="s">
        <v>45</v>
      </c>
      <c r="J41" s="6" t="s">
        <v>125</v>
      </c>
      <c r="K41" s="6" t="s">
        <v>42</v>
      </c>
      <c r="L41" s="6" t="s">
        <v>52</v>
      </c>
      <c r="M41" s="7">
        <v>46069</v>
      </c>
      <c r="N41" s="8">
        <v>33045</v>
      </c>
      <c r="O41" s="10">
        <v>120</v>
      </c>
      <c r="P41" s="14">
        <v>1334</v>
      </c>
      <c r="Q41" s="6" t="s">
        <v>109</v>
      </c>
      <c r="R41" s="6" t="s">
        <v>45</v>
      </c>
      <c r="S41" s="6" t="s">
        <v>45</v>
      </c>
      <c r="T41" s="6" t="s">
        <v>45</v>
      </c>
      <c r="U41" s="10">
        <v>1</v>
      </c>
      <c r="V41" s="6" t="s">
        <v>45</v>
      </c>
      <c r="W41" s="10">
        <v>0</v>
      </c>
      <c r="X41" s="6" t="s">
        <v>45</v>
      </c>
      <c r="Y41" s="6" t="s">
        <v>46</v>
      </c>
      <c r="Z41" s="6" t="s">
        <v>45</v>
      </c>
      <c r="AA41" s="10" t="b">
        <v>0</v>
      </c>
      <c r="AB41" s="10" t="b">
        <v>0</v>
      </c>
      <c r="AC41" s="10" t="b">
        <v>0</v>
      </c>
      <c r="AD41" s="7"/>
      <c r="AE41" s="8">
        <v>0</v>
      </c>
      <c r="AF41" s="6" t="s">
        <v>45</v>
      </c>
      <c r="AG41" s="8">
        <v>0</v>
      </c>
      <c r="AH41" s="11"/>
      <c r="AI41" s="12">
        <v>0</v>
      </c>
    </row>
    <row r="42" spans="1:35" x14ac:dyDescent="0.35">
      <c r="A42" s="5" t="s">
        <v>204</v>
      </c>
      <c r="B42" s="6" t="s">
        <v>45</v>
      </c>
      <c r="C42" s="6" t="s">
        <v>205</v>
      </c>
      <c r="D42" s="6" t="s">
        <v>38</v>
      </c>
      <c r="E42" s="42" t="s">
        <v>803</v>
      </c>
      <c r="F42" s="42" t="s">
        <v>2018</v>
      </c>
      <c r="G42" s="42" t="s">
        <v>2006</v>
      </c>
      <c r="H42" s="6" t="s">
        <v>45</v>
      </c>
      <c r="I42" s="6" t="s">
        <v>45</v>
      </c>
      <c r="J42" s="6" t="s">
        <v>206</v>
      </c>
      <c r="K42" s="6" t="s">
        <v>42</v>
      </c>
      <c r="L42" s="6" t="s">
        <v>52</v>
      </c>
      <c r="M42" s="7">
        <v>46038</v>
      </c>
      <c r="N42" s="8">
        <v>18768</v>
      </c>
      <c r="O42" s="10">
        <v>151</v>
      </c>
      <c r="P42" s="14">
        <v>1187</v>
      </c>
      <c r="Q42" s="6" t="s">
        <v>109</v>
      </c>
      <c r="R42" s="6" t="s">
        <v>45</v>
      </c>
      <c r="S42" s="6" t="s">
        <v>45</v>
      </c>
      <c r="T42" s="6" t="s">
        <v>45</v>
      </c>
      <c r="U42" s="10">
        <v>1</v>
      </c>
      <c r="V42" s="6" t="s">
        <v>45</v>
      </c>
      <c r="W42" s="10">
        <v>0</v>
      </c>
      <c r="X42" s="6" t="s">
        <v>45</v>
      </c>
      <c r="Y42" s="6" t="s">
        <v>46</v>
      </c>
      <c r="Z42" s="6" t="s">
        <v>45</v>
      </c>
      <c r="AA42" s="10" t="b">
        <v>0</v>
      </c>
      <c r="AB42" s="10" t="b">
        <v>0</v>
      </c>
      <c r="AC42" s="10" t="b">
        <v>0</v>
      </c>
      <c r="AD42" s="7">
        <v>45631</v>
      </c>
      <c r="AE42" s="8">
        <v>13768</v>
      </c>
      <c r="AF42" s="6" t="s">
        <v>207</v>
      </c>
      <c r="AG42" s="8">
        <v>6187</v>
      </c>
      <c r="AH42" s="11"/>
      <c r="AI42" s="12">
        <v>0</v>
      </c>
    </row>
    <row r="43" spans="1:35" x14ac:dyDescent="0.35">
      <c r="A43" s="5" t="s">
        <v>134</v>
      </c>
      <c r="B43" s="6" t="s">
        <v>45</v>
      </c>
      <c r="C43" s="6" t="s">
        <v>89</v>
      </c>
      <c r="D43" s="6" t="s">
        <v>135</v>
      </c>
      <c r="E43" s="42" t="s">
        <v>2051</v>
      </c>
      <c r="F43" s="42" t="s">
        <v>2008</v>
      </c>
      <c r="G43" s="42" t="s">
        <v>1996</v>
      </c>
      <c r="H43" s="6" t="s">
        <v>136</v>
      </c>
      <c r="I43" s="6" t="s">
        <v>137</v>
      </c>
      <c r="J43" s="6" t="s">
        <v>93</v>
      </c>
      <c r="K43" s="6" t="s">
        <v>42</v>
      </c>
      <c r="L43" s="6" t="s">
        <v>52</v>
      </c>
      <c r="M43" s="7">
        <v>45858</v>
      </c>
      <c r="N43" s="8">
        <v>500</v>
      </c>
      <c r="O43" s="10">
        <v>331</v>
      </c>
      <c r="P43" s="14">
        <v>1121</v>
      </c>
      <c r="Q43" s="6" t="s">
        <v>94</v>
      </c>
      <c r="R43" s="6" t="s">
        <v>45</v>
      </c>
      <c r="S43" s="6" t="s">
        <v>45</v>
      </c>
      <c r="T43" s="6" t="s">
        <v>45</v>
      </c>
      <c r="U43" s="10">
        <v>1</v>
      </c>
      <c r="V43" s="6" t="s">
        <v>45</v>
      </c>
      <c r="W43" s="10">
        <v>0</v>
      </c>
      <c r="X43" s="6" t="s">
        <v>45</v>
      </c>
      <c r="Y43" s="6" t="s">
        <v>46</v>
      </c>
      <c r="Z43" s="6" t="s">
        <v>45</v>
      </c>
      <c r="AA43" s="10" t="b">
        <v>0</v>
      </c>
      <c r="AB43" s="10" t="b">
        <v>0</v>
      </c>
      <c r="AC43" s="10" t="b">
        <v>0</v>
      </c>
      <c r="AD43" s="7">
        <v>45913</v>
      </c>
      <c r="AE43" s="8">
        <v>956</v>
      </c>
      <c r="AF43" s="6" t="s">
        <v>138</v>
      </c>
      <c r="AG43" s="8">
        <v>665</v>
      </c>
      <c r="AH43" s="11"/>
      <c r="AI43" s="12">
        <v>0</v>
      </c>
    </row>
    <row r="44" spans="1:35" x14ac:dyDescent="0.35">
      <c r="A44" s="5" t="s">
        <v>296</v>
      </c>
      <c r="B44" s="6" t="s">
        <v>45</v>
      </c>
      <c r="C44" s="6" t="s">
        <v>152</v>
      </c>
      <c r="D44" s="6" t="s">
        <v>158</v>
      </c>
      <c r="E44" s="42" t="s">
        <v>2026</v>
      </c>
      <c r="F44" s="42" t="s">
        <v>1995</v>
      </c>
      <c r="G44" s="42" t="s">
        <v>1996</v>
      </c>
      <c r="H44" s="6" t="s">
        <v>297</v>
      </c>
      <c r="I44" s="6" t="s">
        <v>298</v>
      </c>
      <c r="J44" s="6" t="s">
        <v>142</v>
      </c>
      <c r="K44" s="6" t="s">
        <v>42</v>
      </c>
      <c r="L44" s="6" t="s">
        <v>52</v>
      </c>
      <c r="M44" s="7">
        <v>46121</v>
      </c>
      <c r="N44" s="8">
        <v>80487</v>
      </c>
      <c r="O44" s="10">
        <v>68</v>
      </c>
      <c r="P44" s="14">
        <v>1062</v>
      </c>
      <c r="Q44" s="6" t="s">
        <v>126</v>
      </c>
      <c r="R44" s="6" t="s">
        <v>45</v>
      </c>
      <c r="S44" s="6" t="s">
        <v>45</v>
      </c>
      <c r="T44" s="6" t="s">
        <v>45</v>
      </c>
      <c r="U44" s="10">
        <v>1</v>
      </c>
      <c r="V44" s="6" t="s">
        <v>45</v>
      </c>
      <c r="W44" s="10">
        <v>0</v>
      </c>
      <c r="X44" s="6" t="s">
        <v>45</v>
      </c>
      <c r="Y44" s="6" t="s">
        <v>46</v>
      </c>
      <c r="Z44" s="6" t="s">
        <v>45</v>
      </c>
      <c r="AA44" s="10" t="b">
        <v>0</v>
      </c>
      <c r="AB44" s="10" t="b">
        <v>0</v>
      </c>
      <c r="AC44" s="10" t="b">
        <v>0</v>
      </c>
      <c r="AD44" s="7"/>
      <c r="AE44" s="8">
        <v>0</v>
      </c>
      <c r="AF44" s="6" t="s">
        <v>45</v>
      </c>
      <c r="AG44" s="8">
        <v>0</v>
      </c>
      <c r="AH44" s="11"/>
      <c r="AI44" s="12">
        <v>0</v>
      </c>
    </row>
    <row r="45" spans="1:35" x14ac:dyDescent="0.35">
      <c r="A45" s="5" t="s">
        <v>328</v>
      </c>
      <c r="B45" s="6" t="s">
        <v>45</v>
      </c>
      <c r="C45" s="6" t="s">
        <v>193</v>
      </c>
      <c r="D45" s="6" t="s">
        <v>158</v>
      </c>
      <c r="E45" s="42" t="s">
        <v>2026</v>
      </c>
      <c r="F45" s="42" t="s">
        <v>1995</v>
      </c>
      <c r="G45" s="42" t="s">
        <v>1996</v>
      </c>
      <c r="H45" s="6" t="s">
        <v>329</v>
      </c>
      <c r="I45" s="6" t="s">
        <v>330</v>
      </c>
      <c r="J45" s="6" t="s">
        <v>213</v>
      </c>
      <c r="K45" s="6" t="s">
        <v>42</v>
      </c>
      <c r="L45" s="6" t="s">
        <v>52</v>
      </c>
      <c r="M45" s="7">
        <v>46134</v>
      </c>
      <c r="N45" s="8">
        <v>80697</v>
      </c>
      <c r="O45" s="10">
        <v>55</v>
      </c>
      <c r="P45" s="14">
        <v>852</v>
      </c>
      <c r="Q45" s="6" t="s">
        <v>126</v>
      </c>
      <c r="R45" s="6" t="s">
        <v>45</v>
      </c>
      <c r="S45" s="6" t="s">
        <v>45</v>
      </c>
      <c r="T45" s="6" t="s">
        <v>45</v>
      </c>
      <c r="U45" s="10">
        <v>1</v>
      </c>
      <c r="V45" s="6" t="s">
        <v>45</v>
      </c>
      <c r="W45" s="10">
        <v>0</v>
      </c>
      <c r="X45" s="6" t="s">
        <v>45</v>
      </c>
      <c r="Y45" s="6" t="s">
        <v>46</v>
      </c>
      <c r="Z45" s="6" t="s">
        <v>45</v>
      </c>
      <c r="AA45" s="10" t="b">
        <v>0</v>
      </c>
      <c r="AB45" s="10" t="b">
        <v>0</v>
      </c>
      <c r="AC45" s="10" t="b">
        <v>0</v>
      </c>
      <c r="AD45" s="7">
        <v>45417</v>
      </c>
      <c r="AE45" s="8">
        <v>68697</v>
      </c>
      <c r="AF45" s="6" t="s">
        <v>331</v>
      </c>
      <c r="AG45" s="8">
        <v>12852</v>
      </c>
      <c r="AH45" s="11"/>
      <c r="AI45" s="12">
        <v>0</v>
      </c>
    </row>
    <row r="46" spans="1:35" x14ac:dyDescent="0.35">
      <c r="A46" s="5" t="s">
        <v>293</v>
      </c>
      <c r="B46" s="6" t="s">
        <v>45</v>
      </c>
      <c r="C46" s="6" t="s">
        <v>294</v>
      </c>
      <c r="D46" s="6" t="s">
        <v>38</v>
      </c>
      <c r="E46" s="42" t="s">
        <v>803</v>
      </c>
      <c r="F46" s="42" t="s">
        <v>2018</v>
      </c>
      <c r="G46" s="42" t="s">
        <v>2006</v>
      </c>
      <c r="H46" s="6" t="s">
        <v>45</v>
      </c>
      <c r="I46" s="6" t="s">
        <v>45</v>
      </c>
      <c r="J46" s="6" t="s">
        <v>114</v>
      </c>
      <c r="K46" s="6" t="s">
        <v>42</v>
      </c>
      <c r="L46" s="6" t="s">
        <v>52</v>
      </c>
      <c r="M46" s="7">
        <v>46117</v>
      </c>
      <c r="N46" s="8">
        <v>39200</v>
      </c>
      <c r="O46" s="10">
        <v>72</v>
      </c>
      <c r="P46" s="14">
        <v>736</v>
      </c>
      <c r="Q46" s="6" t="s">
        <v>126</v>
      </c>
      <c r="R46" s="6" t="s">
        <v>45</v>
      </c>
      <c r="S46" s="6" t="s">
        <v>45</v>
      </c>
      <c r="T46" s="6" t="s">
        <v>45</v>
      </c>
      <c r="U46" s="10">
        <v>1</v>
      </c>
      <c r="V46" s="6" t="s">
        <v>45</v>
      </c>
      <c r="W46" s="10">
        <v>0</v>
      </c>
      <c r="X46" s="6" t="s">
        <v>45</v>
      </c>
      <c r="Y46" s="6" t="s">
        <v>46</v>
      </c>
      <c r="Z46" s="6" t="s">
        <v>45</v>
      </c>
      <c r="AA46" s="10" t="b">
        <v>0</v>
      </c>
      <c r="AB46" s="10" t="b">
        <v>0</v>
      </c>
      <c r="AC46" s="10" t="b">
        <v>0</v>
      </c>
      <c r="AD46" s="7">
        <v>45641</v>
      </c>
      <c r="AE46" s="8">
        <v>31200</v>
      </c>
      <c r="AF46" s="6" t="s">
        <v>295</v>
      </c>
      <c r="AG46" s="8">
        <v>8736</v>
      </c>
      <c r="AH46" s="11"/>
      <c r="AI46" s="12">
        <v>0</v>
      </c>
    </row>
    <row r="47" spans="1:35" x14ac:dyDescent="0.35">
      <c r="A47" s="5" t="s">
        <v>234</v>
      </c>
      <c r="B47" s="6" t="s">
        <v>45</v>
      </c>
      <c r="C47" s="6" t="s">
        <v>189</v>
      </c>
      <c r="D47" s="6" t="s">
        <v>38</v>
      </c>
      <c r="E47" s="42" t="s">
        <v>803</v>
      </c>
      <c r="F47" s="42" t="s">
        <v>2018</v>
      </c>
      <c r="G47" s="42" t="s">
        <v>2006</v>
      </c>
      <c r="H47" s="6" t="s">
        <v>45</v>
      </c>
      <c r="I47" s="6" t="s">
        <v>45</v>
      </c>
      <c r="J47" s="6" t="s">
        <v>190</v>
      </c>
      <c r="K47" s="6" t="s">
        <v>42</v>
      </c>
      <c r="L47" s="6" t="s">
        <v>52</v>
      </c>
      <c r="M47" s="7">
        <v>46088</v>
      </c>
      <c r="N47" s="8">
        <v>12428</v>
      </c>
      <c r="O47" s="10">
        <v>101</v>
      </c>
      <c r="P47" s="14">
        <v>635</v>
      </c>
      <c r="Q47" s="6" t="s">
        <v>109</v>
      </c>
      <c r="R47" s="6" t="s">
        <v>45</v>
      </c>
      <c r="S47" s="6" t="s">
        <v>45</v>
      </c>
      <c r="T47" s="6" t="s">
        <v>45</v>
      </c>
      <c r="U47" s="10">
        <v>1</v>
      </c>
      <c r="V47" s="6" t="s">
        <v>45</v>
      </c>
      <c r="W47" s="10">
        <v>0</v>
      </c>
      <c r="X47" s="6" t="s">
        <v>45</v>
      </c>
      <c r="Y47" s="6" t="s">
        <v>46</v>
      </c>
      <c r="Z47" s="6" t="s">
        <v>45</v>
      </c>
      <c r="AA47" s="10" t="b">
        <v>0</v>
      </c>
      <c r="AB47" s="10" t="b">
        <v>0</v>
      </c>
      <c r="AC47" s="10" t="b">
        <v>0</v>
      </c>
      <c r="AD47" s="7">
        <v>45418</v>
      </c>
      <c r="AE47" s="8">
        <v>6428</v>
      </c>
      <c r="AF47" s="6" t="s">
        <v>235</v>
      </c>
      <c r="AG47" s="8">
        <v>6635</v>
      </c>
      <c r="AH47" s="11"/>
      <c r="AI47" s="12">
        <v>0</v>
      </c>
    </row>
    <row r="48" spans="1:35" x14ac:dyDescent="0.35">
      <c r="A48" s="5" t="s">
        <v>264</v>
      </c>
      <c r="B48" s="6" t="s">
        <v>45</v>
      </c>
      <c r="C48" s="6" t="s">
        <v>189</v>
      </c>
      <c r="D48" s="6" t="s">
        <v>265</v>
      </c>
      <c r="E48" s="42" t="s">
        <v>817</v>
      </c>
      <c r="F48" s="42" t="s">
        <v>2007</v>
      </c>
      <c r="G48" s="42" t="s">
        <v>2006</v>
      </c>
      <c r="H48" s="6" t="s">
        <v>45</v>
      </c>
      <c r="I48" s="6" t="s">
        <v>45</v>
      </c>
      <c r="J48" s="6" t="s">
        <v>266</v>
      </c>
      <c r="K48" s="6" t="s">
        <v>42</v>
      </c>
      <c r="L48" s="6" t="s">
        <v>52</v>
      </c>
      <c r="M48" s="7">
        <v>46108</v>
      </c>
      <c r="N48" s="8">
        <v>9390</v>
      </c>
      <c r="O48" s="10">
        <v>81</v>
      </c>
      <c r="P48" s="14">
        <v>583</v>
      </c>
      <c r="Q48" s="6" t="s">
        <v>109</v>
      </c>
      <c r="R48" s="6" t="s">
        <v>45</v>
      </c>
      <c r="S48" s="6" t="s">
        <v>45</v>
      </c>
      <c r="T48" s="6" t="s">
        <v>45</v>
      </c>
      <c r="U48" s="10">
        <v>1</v>
      </c>
      <c r="V48" s="6" t="s">
        <v>45</v>
      </c>
      <c r="W48" s="10">
        <v>0</v>
      </c>
      <c r="X48" s="6" t="s">
        <v>45</v>
      </c>
      <c r="Y48" s="6" t="s">
        <v>46</v>
      </c>
      <c r="Z48" s="6" t="s">
        <v>45</v>
      </c>
      <c r="AA48" s="10" t="b">
        <v>0</v>
      </c>
      <c r="AB48" s="10" t="b">
        <v>0</v>
      </c>
      <c r="AC48" s="10" t="b">
        <v>0</v>
      </c>
      <c r="AD48" s="7">
        <v>45500</v>
      </c>
      <c r="AE48" s="8">
        <v>4590</v>
      </c>
      <c r="AF48" s="6" t="s">
        <v>267</v>
      </c>
      <c r="AG48" s="8">
        <v>5383</v>
      </c>
      <c r="AH48" s="11"/>
      <c r="AI48" s="12">
        <v>0</v>
      </c>
    </row>
    <row r="49" spans="1:35" x14ac:dyDescent="0.35">
      <c r="A49" s="5" t="s">
        <v>404</v>
      </c>
      <c r="B49" s="6" t="s">
        <v>45</v>
      </c>
      <c r="C49" s="6" t="s">
        <v>152</v>
      </c>
      <c r="D49" s="6" t="s">
        <v>158</v>
      </c>
      <c r="E49" s="42" t="s">
        <v>2026</v>
      </c>
      <c r="F49" s="42" t="s">
        <v>1995</v>
      </c>
      <c r="G49" s="42" t="s">
        <v>1996</v>
      </c>
      <c r="H49" s="6" t="s">
        <v>405</v>
      </c>
      <c r="I49" s="6" t="s">
        <v>406</v>
      </c>
      <c r="J49" s="6" t="s">
        <v>142</v>
      </c>
      <c r="K49" s="6" t="s">
        <v>42</v>
      </c>
      <c r="L49" s="6" t="s">
        <v>52</v>
      </c>
      <c r="M49" s="7">
        <v>46153</v>
      </c>
      <c r="N49" s="8">
        <v>80998</v>
      </c>
      <c r="O49" s="10">
        <v>36</v>
      </c>
      <c r="P49" s="14">
        <v>551</v>
      </c>
      <c r="Q49" s="6" t="s">
        <v>126</v>
      </c>
      <c r="R49" s="6" t="s">
        <v>45</v>
      </c>
      <c r="S49" s="6" t="s">
        <v>45</v>
      </c>
      <c r="T49" s="6" t="s">
        <v>45</v>
      </c>
      <c r="U49" s="10">
        <v>1</v>
      </c>
      <c r="V49" s="6" t="s">
        <v>45</v>
      </c>
      <c r="W49" s="10">
        <v>0</v>
      </c>
      <c r="X49" s="6" t="s">
        <v>45</v>
      </c>
      <c r="Y49" s="6" t="s">
        <v>46</v>
      </c>
      <c r="Z49" s="6" t="s">
        <v>45</v>
      </c>
      <c r="AA49" s="10" t="b">
        <v>0</v>
      </c>
      <c r="AB49" s="10" t="b">
        <v>0</v>
      </c>
      <c r="AC49" s="10" t="b">
        <v>0</v>
      </c>
      <c r="AD49" s="7"/>
      <c r="AE49" s="8">
        <v>0</v>
      </c>
      <c r="AF49" s="6" t="s">
        <v>45</v>
      </c>
      <c r="AG49" s="8">
        <v>0</v>
      </c>
      <c r="AH49" s="11"/>
      <c r="AI49" s="12">
        <v>0</v>
      </c>
    </row>
    <row r="50" spans="1:35" x14ac:dyDescent="0.35">
      <c r="A50" s="5" t="s">
        <v>232</v>
      </c>
      <c r="B50" s="6" t="s">
        <v>45</v>
      </c>
      <c r="C50" s="6" t="s">
        <v>233</v>
      </c>
      <c r="D50" s="6" t="s">
        <v>38</v>
      </c>
      <c r="E50" s="42" t="s">
        <v>803</v>
      </c>
      <c r="F50" s="42" t="s">
        <v>2018</v>
      </c>
      <c r="G50" s="42" t="s">
        <v>2006</v>
      </c>
      <c r="H50" s="6" t="s">
        <v>45</v>
      </c>
      <c r="I50" s="6" t="s">
        <v>45</v>
      </c>
      <c r="J50" s="6" t="s">
        <v>125</v>
      </c>
      <c r="K50" s="6" t="s">
        <v>42</v>
      </c>
      <c r="L50" s="6" t="s">
        <v>52</v>
      </c>
      <c r="M50" s="7">
        <v>46078</v>
      </c>
      <c r="N50" s="8">
        <v>19000</v>
      </c>
      <c r="O50" s="10">
        <v>111</v>
      </c>
      <c r="P50" s="14">
        <v>550</v>
      </c>
      <c r="Q50" s="6" t="s">
        <v>109</v>
      </c>
      <c r="R50" s="6" t="s">
        <v>45</v>
      </c>
      <c r="S50" s="6" t="s">
        <v>45</v>
      </c>
      <c r="T50" s="6" t="s">
        <v>45</v>
      </c>
      <c r="U50" s="10">
        <v>1</v>
      </c>
      <c r="V50" s="6" t="s">
        <v>45</v>
      </c>
      <c r="W50" s="10">
        <v>0</v>
      </c>
      <c r="X50" s="6" t="s">
        <v>45</v>
      </c>
      <c r="Y50" s="6" t="s">
        <v>46</v>
      </c>
      <c r="Z50" s="6" t="s">
        <v>45</v>
      </c>
      <c r="AA50" s="10" t="b">
        <v>0</v>
      </c>
      <c r="AB50" s="10" t="b">
        <v>0</v>
      </c>
      <c r="AC50" s="10" t="b">
        <v>0</v>
      </c>
      <c r="AD50" s="7"/>
      <c r="AE50" s="8">
        <v>0</v>
      </c>
      <c r="AF50" s="6" t="s">
        <v>45</v>
      </c>
      <c r="AG50" s="8">
        <v>0</v>
      </c>
      <c r="AH50" s="11"/>
      <c r="AI50" s="12">
        <v>0</v>
      </c>
    </row>
    <row r="51" spans="1:35" x14ac:dyDescent="0.35">
      <c r="A51" s="5" t="s">
        <v>401</v>
      </c>
      <c r="B51" s="6" t="s">
        <v>45</v>
      </c>
      <c r="C51" s="6" t="s">
        <v>304</v>
      </c>
      <c r="D51" s="6" t="s">
        <v>402</v>
      </c>
      <c r="E51" s="42" t="s">
        <v>2052</v>
      </c>
      <c r="F51" s="42" t="s">
        <v>1998</v>
      </c>
      <c r="G51" s="42" t="s">
        <v>1999</v>
      </c>
      <c r="H51" s="6" t="s">
        <v>85</v>
      </c>
      <c r="I51" s="6" t="s">
        <v>403</v>
      </c>
      <c r="J51" s="6" t="s">
        <v>114</v>
      </c>
      <c r="K51" s="6" t="s">
        <v>42</v>
      </c>
      <c r="L51" s="6" t="s">
        <v>172</v>
      </c>
      <c r="M51" s="7">
        <v>46152</v>
      </c>
      <c r="N51" s="8">
        <v>8000</v>
      </c>
      <c r="O51" s="10">
        <v>37</v>
      </c>
      <c r="P51" s="14">
        <v>530</v>
      </c>
      <c r="Q51" s="6" t="s">
        <v>76</v>
      </c>
      <c r="R51" s="6" t="s">
        <v>45</v>
      </c>
      <c r="S51" s="6" t="s">
        <v>45</v>
      </c>
      <c r="T51" s="6" t="s">
        <v>45</v>
      </c>
      <c r="U51" s="10">
        <v>1</v>
      </c>
      <c r="V51" s="6" t="s">
        <v>45</v>
      </c>
      <c r="W51" s="10">
        <v>0</v>
      </c>
      <c r="X51" s="6" t="s">
        <v>45</v>
      </c>
      <c r="Y51" s="6" t="s">
        <v>46</v>
      </c>
      <c r="Z51" s="6" t="s">
        <v>45</v>
      </c>
      <c r="AA51" s="10" t="b">
        <v>0</v>
      </c>
      <c r="AB51" s="10" t="b">
        <v>0</v>
      </c>
      <c r="AC51" s="10" t="b">
        <v>1</v>
      </c>
      <c r="AD51" s="7"/>
      <c r="AE51" s="8">
        <v>0</v>
      </c>
      <c r="AF51" s="6" t="s">
        <v>45</v>
      </c>
      <c r="AG51" s="8">
        <v>0</v>
      </c>
      <c r="AH51" s="11"/>
      <c r="AI51" s="12">
        <v>0</v>
      </c>
    </row>
  </sheetData>
  <autoFilter ref="A2:AI51" xr:uid="{565684BA-2891-42EE-8215-3F2393C375E0}"/>
  <hyperlinks>
    <hyperlink ref="F1" location="Summary!A1" display="Back to summary" xr:uid="{F637E313-67EE-4A6F-9C68-87CA7BC6C2D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165A-C2CE-4C72-8461-CB85629AB10B}">
  <dimension ref="A1:J170"/>
  <sheetViews>
    <sheetView workbookViewId="0"/>
  </sheetViews>
  <sheetFormatPr defaultRowHeight="14.5" x14ac:dyDescent="0.35"/>
  <cols>
    <col min="2" max="2" width="14.36328125" bestFit="1" customWidth="1"/>
    <col min="3" max="3" width="19.1796875" bestFit="1" customWidth="1"/>
    <col min="4" max="4" width="9.54296875" bestFit="1" customWidth="1"/>
  </cols>
  <sheetData>
    <row r="1" spans="1:10" x14ac:dyDescent="0.35">
      <c r="C1" s="49" t="s">
        <v>2102</v>
      </c>
    </row>
    <row r="2" spans="1:10" s="4" customFormat="1" x14ac:dyDescent="0.35">
      <c r="A2" s="1" t="s">
        <v>482</v>
      </c>
      <c r="B2" s="1" t="s">
        <v>69</v>
      </c>
      <c r="C2" s="1" t="s">
        <v>5</v>
      </c>
      <c r="D2" s="1" t="s">
        <v>6</v>
      </c>
      <c r="E2" s="2" t="s">
        <v>7</v>
      </c>
      <c r="F2" s="2" t="s">
        <v>8</v>
      </c>
      <c r="G2" s="2" t="s">
        <v>483</v>
      </c>
      <c r="H2" s="2" t="s">
        <v>484</v>
      </c>
      <c r="I2" s="2" t="s">
        <v>485</v>
      </c>
      <c r="J2" s="3" t="s">
        <v>486</v>
      </c>
    </row>
    <row r="3" spans="1:10" x14ac:dyDescent="0.35">
      <c r="A3" s="5" t="s">
        <v>477</v>
      </c>
      <c r="B3" s="43" t="s">
        <v>2033</v>
      </c>
      <c r="C3" s="43" t="s">
        <v>2034</v>
      </c>
      <c r="D3" s="43" t="s">
        <v>2010</v>
      </c>
      <c r="E3" s="6" t="s">
        <v>487</v>
      </c>
      <c r="F3" s="6" t="s">
        <v>488</v>
      </c>
      <c r="G3" s="8">
        <v>0</v>
      </c>
      <c r="H3" s="15">
        <v>46173</v>
      </c>
      <c r="I3" s="7">
        <v>46143</v>
      </c>
      <c r="J3" s="12">
        <v>0</v>
      </c>
    </row>
    <row r="4" spans="1:10" x14ac:dyDescent="0.35">
      <c r="A4" s="5" t="s">
        <v>489</v>
      </c>
      <c r="B4" s="43" t="s">
        <v>2035</v>
      </c>
      <c r="C4" s="43" t="s">
        <v>2012</v>
      </c>
      <c r="D4" s="43" t="s">
        <v>2001</v>
      </c>
      <c r="E4" s="6" t="s">
        <v>490</v>
      </c>
      <c r="F4" s="6" t="s">
        <v>491</v>
      </c>
      <c r="G4" s="8">
        <v>57919</v>
      </c>
      <c r="H4" s="15">
        <v>46172</v>
      </c>
      <c r="I4" s="7">
        <v>46165</v>
      </c>
      <c r="J4" s="12">
        <v>22.483000000000001</v>
      </c>
    </row>
    <row r="5" spans="1:10" x14ac:dyDescent="0.35">
      <c r="A5" s="5" t="s">
        <v>489</v>
      </c>
      <c r="B5" s="43" t="s">
        <v>2035</v>
      </c>
      <c r="C5" s="43" t="s">
        <v>2012</v>
      </c>
      <c r="D5" s="43" t="s">
        <v>2001</v>
      </c>
      <c r="E5" s="6" t="s">
        <v>492</v>
      </c>
      <c r="F5" s="6" t="s">
        <v>493</v>
      </c>
      <c r="G5" s="8">
        <v>56106</v>
      </c>
      <c r="H5" s="15">
        <v>46172</v>
      </c>
      <c r="I5" s="7">
        <v>46165</v>
      </c>
      <c r="J5" s="12">
        <v>21.117999999999999</v>
      </c>
    </row>
    <row r="6" spans="1:10" x14ac:dyDescent="0.35">
      <c r="A6" s="5" t="s">
        <v>244</v>
      </c>
      <c r="B6" s="43" t="s">
        <v>2036</v>
      </c>
      <c r="C6" s="43" t="s">
        <v>2019</v>
      </c>
      <c r="D6" s="43" t="s">
        <v>2010</v>
      </c>
      <c r="E6" s="6" t="s">
        <v>490</v>
      </c>
      <c r="F6" s="6" t="s">
        <v>491</v>
      </c>
      <c r="G6" s="8">
        <v>3591</v>
      </c>
      <c r="H6" s="15">
        <v>46172</v>
      </c>
      <c r="I6" s="7">
        <v>46165</v>
      </c>
      <c r="J6" s="12">
        <v>19.536999999999999</v>
      </c>
    </row>
    <row r="7" spans="1:10" x14ac:dyDescent="0.35">
      <c r="A7" s="5" t="s">
        <v>494</v>
      </c>
      <c r="B7" s="43" t="s">
        <v>2037</v>
      </c>
      <c r="C7" s="43" t="s">
        <v>2012</v>
      </c>
      <c r="D7" s="43" t="s">
        <v>2001</v>
      </c>
      <c r="E7" s="6" t="s">
        <v>39</v>
      </c>
      <c r="F7" s="6" t="s">
        <v>40</v>
      </c>
      <c r="G7" s="8">
        <v>2642</v>
      </c>
      <c r="H7" s="15">
        <v>46172</v>
      </c>
      <c r="I7" s="7">
        <v>46165</v>
      </c>
      <c r="J7" s="12">
        <v>5.609</v>
      </c>
    </row>
    <row r="8" spans="1:10" x14ac:dyDescent="0.35">
      <c r="A8" s="5" t="s">
        <v>494</v>
      </c>
      <c r="B8" s="43" t="s">
        <v>2037</v>
      </c>
      <c r="C8" s="43" t="s">
        <v>2012</v>
      </c>
      <c r="D8" s="43" t="s">
        <v>2001</v>
      </c>
      <c r="E8" s="6" t="s">
        <v>495</v>
      </c>
      <c r="F8" s="6" t="s">
        <v>496</v>
      </c>
      <c r="G8" s="8">
        <v>0</v>
      </c>
      <c r="H8" s="15">
        <v>46172</v>
      </c>
      <c r="I8" s="7">
        <v>46165</v>
      </c>
      <c r="J8" s="12">
        <v>0</v>
      </c>
    </row>
    <row r="9" spans="1:10" x14ac:dyDescent="0.35">
      <c r="A9" s="5" t="s">
        <v>494</v>
      </c>
      <c r="B9" s="43" t="s">
        <v>2037</v>
      </c>
      <c r="C9" s="43" t="s">
        <v>2012</v>
      </c>
      <c r="D9" s="43" t="s">
        <v>2001</v>
      </c>
      <c r="E9" s="6" t="s">
        <v>497</v>
      </c>
      <c r="F9" s="6" t="s">
        <v>498</v>
      </c>
      <c r="G9" s="8">
        <v>0</v>
      </c>
      <c r="H9" s="15">
        <v>46172</v>
      </c>
      <c r="I9" s="7">
        <v>46165</v>
      </c>
      <c r="J9" s="12">
        <v>0</v>
      </c>
    </row>
    <row r="10" spans="1:10" x14ac:dyDescent="0.35">
      <c r="A10" s="5" t="s">
        <v>494</v>
      </c>
      <c r="B10" s="43" t="s">
        <v>2037</v>
      </c>
      <c r="C10" s="43" t="s">
        <v>2012</v>
      </c>
      <c r="D10" s="43" t="s">
        <v>2001</v>
      </c>
      <c r="E10" s="6" t="s">
        <v>499</v>
      </c>
      <c r="F10" s="6" t="s">
        <v>500</v>
      </c>
      <c r="G10" s="8">
        <v>0</v>
      </c>
      <c r="H10" s="15">
        <v>46172</v>
      </c>
      <c r="I10" s="7">
        <v>46165</v>
      </c>
      <c r="J10" s="12">
        <v>0</v>
      </c>
    </row>
    <row r="11" spans="1:10" x14ac:dyDescent="0.35">
      <c r="A11" s="5" t="s">
        <v>494</v>
      </c>
      <c r="B11" s="43" t="s">
        <v>2037</v>
      </c>
      <c r="C11" s="43" t="s">
        <v>2012</v>
      </c>
      <c r="D11" s="43" t="s">
        <v>2001</v>
      </c>
      <c r="E11" s="6" t="s">
        <v>501</v>
      </c>
      <c r="F11" s="6" t="s">
        <v>502</v>
      </c>
      <c r="G11" s="8">
        <v>0</v>
      </c>
      <c r="H11" s="15">
        <v>46172</v>
      </c>
      <c r="I11" s="7">
        <v>46165</v>
      </c>
      <c r="J11" s="12">
        <v>0</v>
      </c>
    </row>
    <row r="12" spans="1:10" x14ac:dyDescent="0.35">
      <c r="A12" s="5" t="s">
        <v>494</v>
      </c>
      <c r="B12" s="43" t="s">
        <v>2037</v>
      </c>
      <c r="C12" s="43" t="s">
        <v>2012</v>
      </c>
      <c r="D12" s="43" t="s">
        <v>2001</v>
      </c>
      <c r="E12" s="6" t="s">
        <v>503</v>
      </c>
      <c r="F12" s="6" t="s">
        <v>504</v>
      </c>
      <c r="G12" s="8">
        <v>0</v>
      </c>
      <c r="H12" s="15">
        <v>46172</v>
      </c>
      <c r="I12" s="7">
        <v>46165</v>
      </c>
      <c r="J12" s="12">
        <v>0</v>
      </c>
    </row>
    <row r="13" spans="1:10" x14ac:dyDescent="0.35">
      <c r="A13" s="5" t="s">
        <v>494</v>
      </c>
      <c r="B13" s="43" t="s">
        <v>2037</v>
      </c>
      <c r="C13" s="43" t="s">
        <v>2012</v>
      </c>
      <c r="D13" s="43" t="s">
        <v>2001</v>
      </c>
      <c r="E13" s="6" t="s">
        <v>505</v>
      </c>
      <c r="F13" s="6" t="s">
        <v>506</v>
      </c>
      <c r="G13" s="8">
        <v>0</v>
      </c>
      <c r="H13" s="15">
        <v>46172</v>
      </c>
      <c r="I13" s="7">
        <v>46165</v>
      </c>
      <c r="J13" s="12">
        <v>0</v>
      </c>
    </row>
    <row r="14" spans="1:10" x14ac:dyDescent="0.35">
      <c r="A14" s="5" t="s">
        <v>494</v>
      </c>
      <c r="B14" s="43" t="s">
        <v>2037</v>
      </c>
      <c r="C14" s="43" t="s">
        <v>2012</v>
      </c>
      <c r="D14" s="43" t="s">
        <v>2001</v>
      </c>
      <c r="E14" s="6" t="s">
        <v>507</v>
      </c>
      <c r="F14" s="6" t="s">
        <v>508</v>
      </c>
      <c r="G14" s="8">
        <v>3905</v>
      </c>
      <c r="H14" s="15">
        <v>46172</v>
      </c>
      <c r="I14" s="7">
        <v>46165</v>
      </c>
      <c r="J14" s="12">
        <v>1.21</v>
      </c>
    </row>
    <row r="15" spans="1:10" x14ac:dyDescent="0.35">
      <c r="A15" s="5" t="s">
        <v>494</v>
      </c>
      <c r="B15" s="43" t="s">
        <v>2037</v>
      </c>
      <c r="C15" s="43" t="s">
        <v>2012</v>
      </c>
      <c r="D15" s="43" t="s">
        <v>2001</v>
      </c>
      <c r="E15" s="6" t="s">
        <v>509</v>
      </c>
      <c r="F15" s="6" t="s">
        <v>510</v>
      </c>
      <c r="G15" s="8">
        <v>3054</v>
      </c>
      <c r="H15" s="15">
        <v>46172</v>
      </c>
      <c r="I15" s="7">
        <v>46165</v>
      </c>
      <c r="J15" s="12">
        <v>1.236</v>
      </c>
    </row>
    <row r="16" spans="1:10" x14ac:dyDescent="0.35">
      <c r="A16" s="5" t="s">
        <v>494</v>
      </c>
      <c r="B16" s="43" t="s">
        <v>2037</v>
      </c>
      <c r="C16" s="43" t="s">
        <v>2012</v>
      </c>
      <c r="D16" s="43" t="s">
        <v>2001</v>
      </c>
      <c r="E16" s="6" t="s">
        <v>511</v>
      </c>
      <c r="F16" s="6" t="s">
        <v>512</v>
      </c>
      <c r="G16" s="8">
        <v>6419</v>
      </c>
      <c r="H16" s="15">
        <v>46172</v>
      </c>
      <c r="I16" s="7">
        <v>46165</v>
      </c>
      <c r="J16" s="12">
        <v>8.9280000000000008</v>
      </c>
    </row>
    <row r="17" spans="1:10" x14ac:dyDescent="0.35">
      <c r="A17" s="5" t="s">
        <v>494</v>
      </c>
      <c r="B17" s="43" t="s">
        <v>2037</v>
      </c>
      <c r="C17" s="43" t="s">
        <v>2012</v>
      </c>
      <c r="D17" s="43" t="s">
        <v>2001</v>
      </c>
      <c r="E17" s="6" t="s">
        <v>513</v>
      </c>
      <c r="F17" s="6" t="s">
        <v>514</v>
      </c>
      <c r="G17" s="8">
        <v>0</v>
      </c>
      <c r="H17" s="15">
        <v>46172</v>
      </c>
      <c r="I17" s="7">
        <v>46165</v>
      </c>
      <c r="J17" s="12">
        <v>0</v>
      </c>
    </row>
    <row r="18" spans="1:10" x14ac:dyDescent="0.35">
      <c r="A18" s="5" t="s">
        <v>273</v>
      </c>
      <c r="B18" s="43" t="s">
        <v>2038</v>
      </c>
      <c r="C18" s="43" t="s">
        <v>2009</v>
      </c>
      <c r="D18" s="43" t="s">
        <v>2010</v>
      </c>
      <c r="E18" s="6" t="s">
        <v>397</v>
      </c>
      <c r="F18" s="6" t="s">
        <v>398</v>
      </c>
      <c r="G18" s="8">
        <v>13575</v>
      </c>
      <c r="H18" s="15">
        <v>46172</v>
      </c>
      <c r="I18" s="7">
        <v>46165</v>
      </c>
      <c r="J18" s="12">
        <v>12.622</v>
      </c>
    </row>
    <row r="19" spans="1:10" x14ac:dyDescent="0.35">
      <c r="A19" s="5" t="s">
        <v>273</v>
      </c>
      <c r="B19" s="43" t="s">
        <v>2038</v>
      </c>
      <c r="C19" s="43" t="s">
        <v>2009</v>
      </c>
      <c r="D19" s="43" t="s">
        <v>2010</v>
      </c>
      <c r="E19" s="6" t="s">
        <v>515</v>
      </c>
      <c r="F19" s="6" t="s">
        <v>516</v>
      </c>
      <c r="G19" s="8">
        <v>14992</v>
      </c>
      <c r="H19" s="15">
        <v>46172</v>
      </c>
      <c r="I19" s="7">
        <v>46165</v>
      </c>
      <c r="J19" s="12">
        <v>14.025</v>
      </c>
    </row>
    <row r="20" spans="1:10" x14ac:dyDescent="0.35">
      <c r="A20" s="5" t="s">
        <v>273</v>
      </c>
      <c r="B20" s="43" t="s">
        <v>2038</v>
      </c>
      <c r="C20" s="43" t="s">
        <v>2009</v>
      </c>
      <c r="D20" s="43" t="s">
        <v>2010</v>
      </c>
      <c r="E20" s="6" t="s">
        <v>453</v>
      </c>
      <c r="F20" s="6" t="s">
        <v>454</v>
      </c>
      <c r="G20" s="8">
        <v>46</v>
      </c>
      <c r="H20" s="15">
        <v>46172</v>
      </c>
      <c r="I20" s="7">
        <v>46165</v>
      </c>
      <c r="J20" s="12">
        <v>4.1000000000000002E-2</v>
      </c>
    </row>
    <row r="21" spans="1:10" x14ac:dyDescent="0.35">
      <c r="A21" s="5" t="s">
        <v>273</v>
      </c>
      <c r="B21" s="43" t="s">
        <v>2038</v>
      </c>
      <c r="C21" s="43" t="s">
        <v>2009</v>
      </c>
      <c r="D21" s="43" t="s">
        <v>2010</v>
      </c>
      <c r="E21" s="6" t="s">
        <v>517</v>
      </c>
      <c r="F21" s="6" t="s">
        <v>518</v>
      </c>
      <c r="G21" s="8">
        <v>18905</v>
      </c>
      <c r="H21" s="15">
        <v>46172</v>
      </c>
      <c r="I21" s="7">
        <v>46165</v>
      </c>
      <c r="J21" s="12">
        <v>17.669</v>
      </c>
    </row>
    <row r="22" spans="1:10" x14ac:dyDescent="0.35">
      <c r="A22" s="5" t="s">
        <v>273</v>
      </c>
      <c r="B22" s="43" t="s">
        <v>2038</v>
      </c>
      <c r="C22" s="43" t="s">
        <v>2009</v>
      </c>
      <c r="D22" s="43" t="s">
        <v>2010</v>
      </c>
      <c r="E22" s="6" t="s">
        <v>519</v>
      </c>
      <c r="F22" s="6" t="s">
        <v>520</v>
      </c>
      <c r="G22" s="8">
        <v>9524</v>
      </c>
      <c r="H22" s="15">
        <v>46172</v>
      </c>
      <c r="I22" s="7">
        <v>46165</v>
      </c>
      <c r="J22" s="12">
        <v>8.9179999999999993</v>
      </c>
    </row>
    <row r="23" spans="1:10" x14ac:dyDescent="0.35">
      <c r="A23" s="5" t="s">
        <v>273</v>
      </c>
      <c r="B23" s="43" t="s">
        <v>2038</v>
      </c>
      <c r="C23" s="43" t="s">
        <v>2009</v>
      </c>
      <c r="D23" s="43" t="s">
        <v>2010</v>
      </c>
      <c r="E23" s="6" t="s">
        <v>521</v>
      </c>
      <c r="F23" s="6" t="s">
        <v>522</v>
      </c>
      <c r="G23" s="8">
        <v>10018</v>
      </c>
      <c r="H23" s="15">
        <v>46172</v>
      </c>
      <c r="I23" s="7">
        <v>46165</v>
      </c>
      <c r="J23" s="12">
        <v>9.3330000000000002</v>
      </c>
    </row>
    <row r="24" spans="1:10" x14ac:dyDescent="0.35">
      <c r="A24" s="5" t="s">
        <v>273</v>
      </c>
      <c r="B24" s="43" t="s">
        <v>2038</v>
      </c>
      <c r="C24" s="43" t="s">
        <v>2009</v>
      </c>
      <c r="D24" s="43" t="s">
        <v>2010</v>
      </c>
      <c r="E24" s="6" t="s">
        <v>85</v>
      </c>
      <c r="F24" s="6" t="s">
        <v>86</v>
      </c>
      <c r="G24" s="8">
        <v>22591</v>
      </c>
      <c r="H24" s="15">
        <v>46172</v>
      </c>
      <c r="I24" s="7">
        <v>46165</v>
      </c>
      <c r="J24" s="12">
        <v>21.041</v>
      </c>
    </row>
    <row r="25" spans="1:10" x14ac:dyDescent="0.35">
      <c r="A25" s="5" t="s">
        <v>273</v>
      </c>
      <c r="B25" s="43" t="s">
        <v>2038</v>
      </c>
      <c r="C25" s="43" t="s">
        <v>2009</v>
      </c>
      <c r="D25" s="43" t="s">
        <v>2010</v>
      </c>
      <c r="E25" s="6" t="s">
        <v>523</v>
      </c>
      <c r="F25" s="6" t="s">
        <v>524</v>
      </c>
      <c r="G25" s="8">
        <v>452</v>
      </c>
      <c r="H25" s="15">
        <v>46172</v>
      </c>
      <c r="I25" s="7">
        <v>46165</v>
      </c>
      <c r="J25" s="12">
        <v>0.42299999999999999</v>
      </c>
    </row>
    <row r="26" spans="1:10" x14ac:dyDescent="0.35">
      <c r="A26" s="5" t="s">
        <v>273</v>
      </c>
      <c r="B26" s="43" t="s">
        <v>2038</v>
      </c>
      <c r="C26" s="43" t="s">
        <v>2009</v>
      </c>
      <c r="D26" s="43" t="s">
        <v>2010</v>
      </c>
      <c r="E26" s="6" t="s">
        <v>499</v>
      </c>
      <c r="F26" s="6" t="s">
        <v>500</v>
      </c>
      <c r="G26" s="8">
        <v>1342</v>
      </c>
      <c r="H26" s="15">
        <v>46172</v>
      </c>
      <c r="I26" s="7">
        <v>46165</v>
      </c>
      <c r="J26" s="12">
        <v>1.234</v>
      </c>
    </row>
    <row r="27" spans="1:10" x14ac:dyDescent="0.35">
      <c r="A27" s="5" t="s">
        <v>273</v>
      </c>
      <c r="B27" s="43" t="s">
        <v>2038</v>
      </c>
      <c r="C27" s="43" t="s">
        <v>2009</v>
      </c>
      <c r="D27" s="43" t="s">
        <v>2010</v>
      </c>
      <c r="E27" s="6" t="s">
        <v>503</v>
      </c>
      <c r="F27" s="6" t="s">
        <v>504</v>
      </c>
      <c r="G27" s="8">
        <v>1335</v>
      </c>
      <c r="H27" s="15">
        <v>46172</v>
      </c>
      <c r="I27" s="7">
        <v>46165</v>
      </c>
      <c r="J27" s="12">
        <v>1.228</v>
      </c>
    </row>
    <row r="28" spans="1:10" x14ac:dyDescent="0.35">
      <c r="A28" s="5" t="s">
        <v>38</v>
      </c>
      <c r="B28" s="43" t="s">
        <v>803</v>
      </c>
      <c r="C28" s="43" t="s">
        <v>2018</v>
      </c>
      <c r="D28" s="43" t="s">
        <v>2006</v>
      </c>
      <c r="E28" s="6" t="s">
        <v>525</v>
      </c>
      <c r="F28" s="6" t="s">
        <v>526</v>
      </c>
      <c r="G28" s="8">
        <v>17986</v>
      </c>
      <c r="H28" s="15">
        <v>46171</v>
      </c>
      <c r="I28" s="7">
        <v>46156</v>
      </c>
      <c r="J28" s="12">
        <v>5.3849999999999998</v>
      </c>
    </row>
    <row r="29" spans="1:10" x14ac:dyDescent="0.35">
      <c r="A29" s="5" t="s">
        <v>38</v>
      </c>
      <c r="B29" s="43" t="s">
        <v>803</v>
      </c>
      <c r="C29" s="43" t="s">
        <v>2018</v>
      </c>
      <c r="D29" s="43" t="s">
        <v>2006</v>
      </c>
      <c r="E29" s="6" t="s">
        <v>527</v>
      </c>
      <c r="F29" s="6" t="s">
        <v>524</v>
      </c>
      <c r="G29" s="8">
        <v>24321</v>
      </c>
      <c r="H29" s="15">
        <v>46171</v>
      </c>
      <c r="I29" s="7">
        <v>46156</v>
      </c>
      <c r="J29" s="12">
        <v>6.0430000000000001</v>
      </c>
    </row>
    <row r="30" spans="1:10" x14ac:dyDescent="0.35">
      <c r="A30" s="5" t="s">
        <v>38</v>
      </c>
      <c r="B30" s="43" t="s">
        <v>803</v>
      </c>
      <c r="C30" s="43" t="s">
        <v>2018</v>
      </c>
      <c r="D30" s="43" t="s">
        <v>2006</v>
      </c>
      <c r="E30" s="6" t="s">
        <v>523</v>
      </c>
      <c r="F30" s="6" t="s">
        <v>528</v>
      </c>
      <c r="G30" s="8">
        <v>26193</v>
      </c>
      <c r="H30" s="15">
        <v>46171</v>
      </c>
      <c r="I30" s="7">
        <v>46156</v>
      </c>
      <c r="J30" s="12">
        <v>14.627000000000001</v>
      </c>
    </row>
    <row r="31" spans="1:10" x14ac:dyDescent="0.35">
      <c r="A31" s="5" t="s">
        <v>38</v>
      </c>
      <c r="B31" s="43" t="s">
        <v>803</v>
      </c>
      <c r="C31" s="43" t="s">
        <v>2018</v>
      </c>
      <c r="D31" s="43" t="s">
        <v>2006</v>
      </c>
      <c r="E31" s="6" t="s">
        <v>503</v>
      </c>
      <c r="F31" s="6" t="s">
        <v>504</v>
      </c>
      <c r="G31" s="8">
        <v>14177</v>
      </c>
      <c r="H31" s="15">
        <v>46171</v>
      </c>
      <c r="I31" s="7">
        <v>46156</v>
      </c>
      <c r="J31" s="12">
        <v>5.3639999999999999</v>
      </c>
    </row>
    <row r="32" spans="1:10" x14ac:dyDescent="0.35">
      <c r="A32" s="5" t="s">
        <v>38</v>
      </c>
      <c r="B32" s="43" t="s">
        <v>803</v>
      </c>
      <c r="C32" s="43" t="s">
        <v>2018</v>
      </c>
      <c r="D32" s="43" t="s">
        <v>2006</v>
      </c>
      <c r="E32" s="6" t="s">
        <v>499</v>
      </c>
      <c r="F32" s="6" t="s">
        <v>500</v>
      </c>
      <c r="G32" s="8">
        <v>14477</v>
      </c>
      <c r="H32" s="15">
        <v>46171</v>
      </c>
      <c r="I32" s="7">
        <v>46156</v>
      </c>
      <c r="J32" s="12">
        <v>5.3680000000000003</v>
      </c>
    </row>
    <row r="33" spans="1:10" x14ac:dyDescent="0.35">
      <c r="A33" s="5" t="s">
        <v>38</v>
      </c>
      <c r="B33" s="43" t="s">
        <v>803</v>
      </c>
      <c r="C33" s="43" t="s">
        <v>2018</v>
      </c>
      <c r="D33" s="43" t="s">
        <v>2006</v>
      </c>
      <c r="E33" s="6" t="s">
        <v>521</v>
      </c>
      <c r="F33" s="6" t="s">
        <v>522</v>
      </c>
      <c r="G33" s="8">
        <v>20337</v>
      </c>
      <c r="H33" s="15">
        <v>46171</v>
      </c>
      <c r="I33" s="7">
        <v>46156</v>
      </c>
      <c r="J33" s="12">
        <v>4.8410000000000002</v>
      </c>
    </row>
    <row r="34" spans="1:10" x14ac:dyDescent="0.35">
      <c r="A34" s="5" t="s">
        <v>38</v>
      </c>
      <c r="B34" s="43" t="s">
        <v>803</v>
      </c>
      <c r="C34" s="43" t="s">
        <v>2018</v>
      </c>
      <c r="D34" s="43" t="s">
        <v>2006</v>
      </c>
      <c r="E34" s="6" t="s">
        <v>515</v>
      </c>
      <c r="F34" s="6" t="s">
        <v>516</v>
      </c>
      <c r="G34" s="8">
        <v>19955</v>
      </c>
      <c r="H34" s="15">
        <v>46171</v>
      </c>
      <c r="I34" s="7">
        <v>46156</v>
      </c>
      <c r="J34" s="12">
        <v>10.054</v>
      </c>
    </row>
    <row r="35" spans="1:10" x14ac:dyDescent="0.35">
      <c r="A35" s="5" t="s">
        <v>38</v>
      </c>
      <c r="B35" s="43" t="s">
        <v>803</v>
      </c>
      <c r="C35" s="43" t="s">
        <v>2018</v>
      </c>
      <c r="D35" s="43" t="s">
        <v>2006</v>
      </c>
      <c r="E35" s="6" t="s">
        <v>529</v>
      </c>
      <c r="F35" s="6" t="s">
        <v>530</v>
      </c>
      <c r="G35" s="8">
        <v>13063</v>
      </c>
      <c r="H35" s="15">
        <v>46171</v>
      </c>
      <c r="I35" s="7">
        <v>46156</v>
      </c>
      <c r="J35" s="12">
        <v>9.3079999999999998</v>
      </c>
    </row>
    <row r="36" spans="1:10" x14ac:dyDescent="0.35">
      <c r="A36" s="5" t="s">
        <v>38</v>
      </c>
      <c r="B36" s="43" t="s">
        <v>803</v>
      </c>
      <c r="C36" s="43" t="s">
        <v>2018</v>
      </c>
      <c r="D36" s="43" t="s">
        <v>2006</v>
      </c>
      <c r="E36" s="6" t="s">
        <v>531</v>
      </c>
      <c r="F36" s="6" t="s">
        <v>532</v>
      </c>
      <c r="G36" s="8">
        <v>19550</v>
      </c>
      <c r="H36" s="15">
        <v>46171</v>
      </c>
      <c r="I36" s="7">
        <v>46156</v>
      </c>
      <c r="J36" s="12">
        <v>7.0490000000000004</v>
      </c>
    </row>
    <row r="37" spans="1:10" x14ac:dyDescent="0.35">
      <c r="A37" s="5" t="s">
        <v>38</v>
      </c>
      <c r="B37" s="43" t="s">
        <v>803</v>
      </c>
      <c r="C37" s="43" t="s">
        <v>2018</v>
      </c>
      <c r="D37" s="43" t="s">
        <v>2006</v>
      </c>
      <c r="E37" s="6" t="s">
        <v>533</v>
      </c>
      <c r="F37" s="6" t="s">
        <v>534</v>
      </c>
      <c r="G37" s="8">
        <v>1052</v>
      </c>
      <c r="H37" s="15">
        <v>46171</v>
      </c>
      <c r="I37" s="7">
        <v>46156</v>
      </c>
      <c r="J37" s="12">
        <v>0.42099999999999999</v>
      </c>
    </row>
    <row r="38" spans="1:10" x14ac:dyDescent="0.35">
      <c r="A38" s="5" t="s">
        <v>38</v>
      </c>
      <c r="B38" s="43" t="s">
        <v>803</v>
      </c>
      <c r="C38" s="43" t="s">
        <v>2018</v>
      </c>
      <c r="D38" s="43" t="s">
        <v>2006</v>
      </c>
      <c r="E38" s="6" t="s">
        <v>535</v>
      </c>
      <c r="F38" s="6" t="s">
        <v>536</v>
      </c>
      <c r="G38" s="8">
        <v>6308</v>
      </c>
      <c r="H38" s="15">
        <v>46171</v>
      </c>
      <c r="I38" s="7">
        <v>46156</v>
      </c>
      <c r="J38" s="12">
        <v>2.5510000000000002</v>
      </c>
    </row>
    <row r="39" spans="1:10" x14ac:dyDescent="0.35">
      <c r="A39" s="5" t="s">
        <v>38</v>
      </c>
      <c r="B39" s="43" t="s">
        <v>803</v>
      </c>
      <c r="C39" s="43" t="s">
        <v>2018</v>
      </c>
      <c r="D39" s="43" t="s">
        <v>2006</v>
      </c>
      <c r="E39" s="6" t="s">
        <v>85</v>
      </c>
      <c r="F39" s="6" t="s">
        <v>403</v>
      </c>
      <c r="G39" s="8">
        <v>29546</v>
      </c>
      <c r="H39" s="15">
        <v>46171</v>
      </c>
      <c r="I39" s="7">
        <v>46156</v>
      </c>
      <c r="J39" s="12">
        <v>7.8970000000000002</v>
      </c>
    </row>
    <row r="40" spans="1:10" x14ac:dyDescent="0.35">
      <c r="A40" s="5" t="s">
        <v>38</v>
      </c>
      <c r="B40" s="43" t="s">
        <v>803</v>
      </c>
      <c r="C40" s="43" t="s">
        <v>2018</v>
      </c>
      <c r="D40" s="43" t="s">
        <v>2006</v>
      </c>
      <c r="E40" s="6" t="s">
        <v>537</v>
      </c>
      <c r="F40" s="6" t="s">
        <v>538</v>
      </c>
      <c r="G40" s="8">
        <v>14458</v>
      </c>
      <c r="H40" s="15">
        <v>46171</v>
      </c>
      <c r="I40" s="7">
        <v>46156</v>
      </c>
      <c r="J40" s="12">
        <v>5.3620000000000001</v>
      </c>
    </row>
    <row r="41" spans="1:10" x14ac:dyDescent="0.35">
      <c r="A41" s="5" t="s">
        <v>38</v>
      </c>
      <c r="B41" s="43" t="s">
        <v>803</v>
      </c>
      <c r="C41" s="43" t="s">
        <v>2018</v>
      </c>
      <c r="D41" s="43" t="s">
        <v>2006</v>
      </c>
      <c r="E41" s="6" t="s">
        <v>539</v>
      </c>
      <c r="F41" s="6" t="s">
        <v>540</v>
      </c>
      <c r="G41" s="8">
        <v>5594</v>
      </c>
      <c r="H41" s="15">
        <v>46171</v>
      </c>
      <c r="I41" s="7">
        <v>46156</v>
      </c>
      <c r="J41" s="12">
        <v>2.13</v>
      </c>
    </row>
    <row r="42" spans="1:10" x14ac:dyDescent="0.35">
      <c r="A42" s="5" t="s">
        <v>38</v>
      </c>
      <c r="B42" s="43" t="s">
        <v>803</v>
      </c>
      <c r="C42" s="43" t="s">
        <v>2018</v>
      </c>
      <c r="D42" s="43" t="s">
        <v>2006</v>
      </c>
      <c r="E42" s="6" t="s">
        <v>519</v>
      </c>
      <c r="F42" s="6" t="s">
        <v>520</v>
      </c>
      <c r="G42" s="8">
        <v>22427</v>
      </c>
      <c r="H42" s="15">
        <v>46171</v>
      </c>
      <c r="I42" s="7">
        <v>46156</v>
      </c>
      <c r="J42" s="12">
        <v>10.317</v>
      </c>
    </row>
    <row r="43" spans="1:10" x14ac:dyDescent="0.35">
      <c r="A43" s="5" t="s">
        <v>541</v>
      </c>
      <c r="B43" s="43" t="s">
        <v>2039</v>
      </c>
      <c r="C43" s="43" t="s">
        <v>2000</v>
      </c>
      <c r="D43" s="43" t="s">
        <v>2001</v>
      </c>
      <c r="E43" s="6" t="s">
        <v>492</v>
      </c>
      <c r="F43" s="6" t="s">
        <v>493</v>
      </c>
      <c r="G43" s="8">
        <v>46598</v>
      </c>
      <c r="H43" s="15">
        <v>46171</v>
      </c>
      <c r="I43" s="7">
        <v>46156</v>
      </c>
      <c r="J43" s="12">
        <v>3.992</v>
      </c>
    </row>
    <row r="44" spans="1:10" x14ac:dyDescent="0.35">
      <c r="A44" s="5" t="s">
        <v>541</v>
      </c>
      <c r="B44" s="43" t="s">
        <v>2039</v>
      </c>
      <c r="C44" s="43" t="s">
        <v>2000</v>
      </c>
      <c r="D44" s="43" t="s">
        <v>2001</v>
      </c>
      <c r="E44" s="6" t="s">
        <v>490</v>
      </c>
      <c r="F44" s="6" t="s">
        <v>491</v>
      </c>
      <c r="G44" s="8">
        <v>45938</v>
      </c>
      <c r="H44" s="15">
        <v>46171</v>
      </c>
      <c r="I44" s="7">
        <v>46156</v>
      </c>
      <c r="J44" s="12">
        <v>3.49</v>
      </c>
    </row>
    <row r="45" spans="1:10" x14ac:dyDescent="0.35">
      <c r="A45" s="5" t="s">
        <v>273</v>
      </c>
      <c r="B45" s="43" t="s">
        <v>2038</v>
      </c>
      <c r="C45" s="43" t="s">
        <v>2009</v>
      </c>
      <c r="D45" s="43" t="s">
        <v>2010</v>
      </c>
      <c r="E45" s="6" t="s">
        <v>533</v>
      </c>
      <c r="F45" s="6" t="s">
        <v>534</v>
      </c>
      <c r="G45" s="8">
        <v>3470</v>
      </c>
      <c r="H45" s="15">
        <v>46171</v>
      </c>
      <c r="I45" s="7">
        <v>46164</v>
      </c>
      <c r="J45" s="12">
        <v>3.149</v>
      </c>
    </row>
    <row r="46" spans="1:10" x14ac:dyDescent="0.35">
      <c r="A46" s="5" t="s">
        <v>273</v>
      </c>
      <c r="B46" s="43" t="s">
        <v>2038</v>
      </c>
      <c r="C46" s="43" t="s">
        <v>2009</v>
      </c>
      <c r="D46" s="43" t="s">
        <v>2010</v>
      </c>
      <c r="E46" s="6" t="s">
        <v>542</v>
      </c>
      <c r="F46" s="6" t="s">
        <v>543</v>
      </c>
      <c r="G46" s="8">
        <v>3184</v>
      </c>
      <c r="H46" s="15">
        <v>46171</v>
      </c>
      <c r="I46" s="7">
        <v>46164</v>
      </c>
      <c r="J46" s="12">
        <v>2.948</v>
      </c>
    </row>
    <row r="47" spans="1:10" x14ac:dyDescent="0.35">
      <c r="A47" s="5" t="s">
        <v>541</v>
      </c>
      <c r="B47" s="43" t="s">
        <v>2039</v>
      </c>
      <c r="C47" s="43" t="s">
        <v>2000</v>
      </c>
      <c r="D47" s="43" t="s">
        <v>2001</v>
      </c>
      <c r="E47" s="6" t="s">
        <v>453</v>
      </c>
      <c r="F47" s="6" t="s">
        <v>454</v>
      </c>
      <c r="G47" s="8">
        <v>182</v>
      </c>
      <c r="H47" s="15">
        <v>46170</v>
      </c>
      <c r="I47" s="7">
        <v>46155</v>
      </c>
      <c r="J47" s="12">
        <v>4.4999999999999998E-2</v>
      </c>
    </row>
    <row r="48" spans="1:10" x14ac:dyDescent="0.35">
      <c r="A48" s="5" t="s">
        <v>541</v>
      </c>
      <c r="B48" s="43" t="s">
        <v>2039</v>
      </c>
      <c r="C48" s="43" t="s">
        <v>2000</v>
      </c>
      <c r="D48" s="43" t="s">
        <v>2001</v>
      </c>
      <c r="E48" s="6" t="s">
        <v>499</v>
      </c>
      <c r="F48" s="6" t="s">
        <v>500</v>
      </c>
      <c r="G48" s="8">
        <v>3475</v>
      </c>
      <c r="H48" s="15">
        <v>46170</v>
      </c>
      <c r="I48" s="7">
        <v>46155</v>
      </c>
      <c r="J48" s="12">
        <v>0.96899999999999997</v>
      </c>
    </row>
    <row r="49" spans="1:10" x14ac:dyDescent="0.35">
      <c r="A49" s="5" t="s">
        <v>541</v>
      </c>
      <c r="B49" s="43" t="s">
        <v>2039</v>
      </c>
      <c r="C49" s="43" t="s">
        <v>2000</v>
      </c>
      <c r="D49" s="43" t="s">
        <v>2001</v>
      </c>
      <c r="E49" s="6" t="s">
        <v>503</v>
      </c>
      <c r="F49" s="6" t="s">
        <v>504</v>
      </c>
      <c r="G49" s="8">
        <v>3475</v>
      </c>
      <c r="H49" s="15">
        <v>46170</v>
      </c>
      <c r="I49" s="7">
        <v>46155</v>
      </c>
      <c r="J49" s="12">
        <v>0.96899999999999997</v>
      </c>
    </row>
    <row r="50" spans="1:10" x14ac:dyDescent="0.35">
      <c r="A50" s="5" t="s">
        <v>541</v>
      </c>
      <c r="B50" s="43" t="s">
        <v>2039</v>
      </c>
      <c r="C50" s="43" t="s">
        <v>2000</v>
      </c>
      <c r="D50" s="43" t="s">
        <v>2001</v>
      </c>
      <c r="E50" s="6" t="s">
        <v>39</v>
      </c>
      <c r="F50" s="6" t="s">
        <v>40</v>
      </c>
      <c r="G50" s="8">
        <v>6165</v>
      </c>
      <c r="H50" s="15">
        <v>46170</v>
      </c>
      <c r="I50" s="7">
        <v>46155</v>
      </c>
      <c r="J50" s="12">
        <v>2.6579999999999999</v>
      </c>
    </row>
    <row r="51" spans="1:10" x14ac:dyDescent="0.35">
      <c r="A51" s="5" t="s">
        <v>273</v>
      </c>
      <c r="B51" s="43" t="s">
        <v>2038</v>
      </c>
      <c r="C51" s="43" t="s">
        <v>2009</v>
      </c>
      <c r="D51" s="43" t="s">
        <v>2010</v>
      </c>
      <c r="E51" s="6" t="s">
        <v>531</v>
      </c>
      <c r="F51" s="6" t="s">
        <v>532</v>
      </c>
      <c r="G51" s="8">
        <v>11685</v>
      </c>
      <c r="H51" s="15">
        <v>46169</v>
      </c>
      <c r="I51" s="7">
        <v>46162</v>
      </c>
      <c r="J51" s="12">
        <v>10.913</v>
      </c>
    </row>
    <row r="52" spans="1:10" x14ac:dyDescent="0.35">
      <c r="A52" s="5" t="s">
        <v>273</v>
      </c>
      <c r="B52" s="43" t="s">
        <v>2038</v>
      </c>
      <c r="C52" s="43" t="s">
        <v>2009</v>
      </c>
      <c r="D52" s="43" t="s">
        <v>2010</v>
      </c>
      <c r="E52" s="6" t="s">
        <v>529</v>
      </c>
      <c r="F52" s="6" t="s">
        <v>530</v>
      </c>
      <c r="G52" s="8">
        <v>11117</v>
      </c>
      <c r="H52" s="15">
        <v>46169</v>
      </c>
      <c r="I52" s="7">
        <v>46162</v>
      </c>
      <c r="J52" s="12">
        <v>10.302</v>
      </c>
    </row>
    <row r="53" spans="1:10" x14ac:dyDescent="0.35">
      <c r="A53" s="5" t="s">
        <v>544</v>
      </c>
      <c r="B53" s="43" t="s">
        <v>2040</v>
      </c>
      <c r="C53" s="43" t="s">
        <v>2005</v>
      </c>
      <c r="D53" s="43" t="s">
        <v>2006</v>
      </c>
      <c r="E53" s="6" t="s">
        <v>545</v>
      </c>
      <c r="F53" s="6" t="s">
        <v>546</v>
      </c>
      <c r="G53" s="8">
        <v>52</v>
      </c>
      <c r="H53" s="15">
        <v>46168</v>
      </c>
      <c r="I53" s="7">
        <v>46153</v>
      </c>
      <c r="J53" s="12">
        <v>4.2000000000000003E-2</v>
      </c>
    </row>
    <row r="54" spans="1:10" x14ac:dyDescent="0.35">
      <c r="A54" s="5" t="s">
        <v>544</v>
      </c>
      <c r="B54" s="43" t="s">
        <v>2040</v>
      </c>
      <c r="C54" s="43" t="s">
        <v>2005</v>
      </c>
      <c r="D54" s="43" t="s">
        <v>2006</v>
      </c>
      <c r="E54" s="6" t="s">
        <v>547</v>
      </c>
      <c r="F54" s="6" t="s">
        <v>548</v>
      </c>
      <c r="G54" s="8">
        <v>35</v>
      </c>
      <c r="H54" s="15">
        <v>46168</v>
      </c>
      <c r="I54" s="7">
        <v>46153</v>
      </c>
      <c r="J54" s="12">
        <v>3.9E-2</v>
      </c>
    </row>
    <row r="55" spans="1:10" x14ac:dyDescent="0.35">
      <c r="A55" s="5" t="s">
        <v>544</v>
      </c>
      <c r="B55" s="43" t="s">
        <v>2040</v>
      </c>
      <c r="C55" s="43" t="s">
        <v>2005</v>
      </c>
      <c r="D55" s="43" t="s">
        <v>2006</v>
      </c>
      <c r="E55" s="6" t="s">
        <v>549</v>
      </c>
      <c r="F55" s="6" t="s">
        <v>550</v>
      </c>
      <c r="G55" s="8">
        <v>42</v>
      </c>
      <c r="H55" s="15">
        <v>46168</v>
      </c>
      <c r="I55" s="7">
        <v>46153</v>
      </c>
      <c r="J55" s="12">
        <v>4.7E-2</v>
      </c>
    </row>
    <row r="56" spans="1:10" x14ac:dyDescent="0.35">
      <c r="A56" s="5" t="s">
        <v>551</v>
      </c>
      <c r="B56" s="43" t="s">
        <v>2041</v>
      </c>
      <c r="C56" s="43" t="s">
        <v>2008</v>
      </c>
      <c r="D56" s="43" t="s">
        <v>1996</v>
      </c>
      <c r="E56" s="6" t="s">
        <v>552</v>
      </c>
      <c r="F56" s="6" t="s">
        <v>553</v>
      </c>
      <c r="G56" s="8">
        <v>11</v>
      </c>
      <c r="H56" s="15">
        <v>46167</v>
      </c>
      <c r="I56" s="7">
        <v>46152</v>
      </c>
      <c r="J56" s="12">
        <v>1.4999999999999999E-2</v>
      </c>
    </row>
    <row r="57" spans="1:10" x14ac:dyDescent="0.35">
      <c r="A57" s="5" t="s">
        <v>551</v>
      </c>
      <c r="B57" s="43" t="s">
        <v>2041</v>
      </c>
      <c r="C57" s="43" t="s">
        <v>2008</v>
      </c>
      <c r="D57" s="43" t="s">
        <v>1996</v>
      </c>
      <c r="E57" s="6" t="s">
        <v>554</v>
      </c>
      <c r="F57" s="6" t="s">
        <v>555</v>
      </c>
      <c r="G57" s="8">
        <v>11</v>
      </c>
      <c r="H57" s="15">
        <v>46167</v>
      </c>
      <c r="I57" s="7">
        <v>46152</v>
      </c>
      <c r="J57" s="12">
        <v>1.4999999999999999E-2</v>
      </c>
    </row>
    <row r="58" spans="1:10" x14ac:dyDescent="0.35">
      <c r="A58" s="5" t="s">
        <v>551</v>
      </c>
      <c r="B58" s="43" t="s">
        <v>2041</v>
      </c>
      <c r="C58" s="43" t="s">
        <v>2008</v>
      </c>
      <c r="D58" s="43" t="s">
        <v>1996</v>
      </c>
      <c r="E58" s="6" t="s">
        <v>556</v>
      </c>
      <c r="F58" s="6" t="s">
        <v>557</v>
      </c>
      <c r="G58" s="8">
        <v>12</v>
      </c>
      <c r="H58" s="15">
        <v>46167</v>
      </c>
      <c r="I58" s="7">
        <v>46152</v>
      </c>
      <c r="J58" s="12">
        <v>1.4999999999999999E-2</v>
      </c>
    </row>
    <row r="59" spans="1:10" x14ac:dyDescent="0.35">
      <c r="A59" s="5" t="s">
        <v>551</v>
      </c>
      <c r="B59" s="43" t="s">
        <v>2041</v>
      </c>
      <c r="C59" s="43" t="s">
        <v>2008</v>
      </c>
      <c r="D59" s="43" t="s">
        <v>1996</v>
      </c>
      <c r="E59" s="6" t="s">
        <v>558</v>
      </c>
      <c r="F59" s="6" t="s">
        <v>559</v>
      </c>
      <c r="G59" s="8">
        <v>11</v>
      </c>
      <c r="H59" s="15">
        <v>46167</v>
      </c>
      <c r="I59" s="7">
        <v>46152</v>
      </c>
      <c r="J59" s="12">
        <v>1.4999999999999999E-2</v>
      </c>
    </row>
    <row r="60" spans="1:10" x14ac:dyDescent="0.35">
      <c r="A60" s="5" t="s">
        <v>551</v>
      </c>
      <c r="B60" s="43" t="s">
        <v>2041</v>
      </c>
      <c r="C60" s="43" t="s">
        <v>2008</v>
      </c>
      <c r="D60" s="43" t="s">
        <v>1996</v>
      </c>
      <c r="E60" s="6" t="s">
        <v>560</v>
      </c>
      <c r="F60" s="6" t="s">
        <v>561</v>
      </c>
      <c r="G60" s="8">
        <v>12</v>
      </c>
      <c r="H60" s="15">
        <v>46167</v>
      </c>
      <c r="I60" s="7">
        <v>46152</v>
      </c>
      <c r="J60" s="12">
        <v>1.4999999999999999E-2</v>
      </c>
    </row>
    <row r="61" spans="1:10" x14ac:dyDescent="0.35">
      <c r="A61" s="5" t="s">
        <v>477</v>
      </c>
      <c r="B61" s="43" t="s">
        <v>2033</v>
      </c>
      <c r="C61" s="43" t="s">
        <v>2034</v>
      </c>
      <c r="D61" s="43" t="s">
        <v>2010</v>
      </c>
      <c r="E61" s="6" t="s">
        <v>562</v>
      </c>
      <c r="F61" s="6" t="s">
        <v>563</v>
      </c>
      <c r="G61" s="8">
        <v>0</v>
      </c>
      <c r="H61" s="15">
        <v>46167</v>
      </c>
      <c r="I61" s="7">
        <v>46137</v>
      </c>
      <c r="J61" s="12">
        <v>0</v>
      </c>
    </row>
    <row r="62" spans="1:10" x14ac:dyDescent="0.35">
      <c r="A62" s="5" t="s">
        <v>51</v>
      </c>
      <c r="B62" s="43" t="s">
        <v>2029</v>
      </c>
      <c r="C62" s="43" t="s">
        <v>2007</v>
      </c>
      <c r="D62" s="43" t="s">
        <v>2006</v>
      </c>
      <c r="E62" s="6" t="s">
        <v>492</v>
      </c>
      <c r="F62" s="6" t="s">
        <v>493</v>
      </c>
      <c r="G62" s="8">
        <v>20938</v>
      </c>
      <c r="H62" s="15">
        <v>46166</v>
      </c>
      <c r="I62" s="7">
        <v>46151</v>
      </c>
      <c r="J62" s="12">
        <v>16.428999999999998</v>
      </c>
    </row>
    <row r="63" spans="1:10" x14ac:dyDescent="0.35">
      <c r="A63" s="5" t="s">
        <v>51</v>
      </c>
      <c r="B63" s="43" t="s">
        <v>2029</v>
      </c>
      <c r="C63" s="43" t="s">
        <v>2007</v>
      </c>
      <c r="D63" s="43" t="s">
        <v>2006</v>
      </c>
      <c r="E63" s="6" t="s">
        <v>490</v>
      </c>
      <c r="F63" s="6" t="s">
        <v>491</v>
      </c>
      <c r="G63" s="8">
        <v>19551</v>
      </c>
      <c r="H63" s="15">
        <v>46166</v>
      </c>
      <c r="I63" s="7">
        <v>46151</v>
      </c>
      <c r="J63" s="12">
        <v>14.827999999999999</v>
      </c>
    </row>
    <row r="64" spans="1:10" x14ac:dyDescent="0.35">
      <c r="A64" s="5" t="s">
        <v>51</v>
      </c>
      <c r="B64" s="43" t="s">
        <v>2029</v>
      </c>
      <c r="C64" s="43" t="s">
        <v>2007</v>
      </c>
      <c r="D64" s="43" t="s">
        <v>2006</v>
      </c>
      <c r="E64" s="6" t="s">
        <v>564</v>
      </c>
      <c r="F64" s="6" t="s">
        <v>565</v>
      </c>
      <c r="G64" s="8">
        <v>25575</v>
      </c>
      <c r="H64" s="15">
        <v>46166</v>
      </c>
      <c r="I64" s="7">
        <v>46151</v>
      </c>
      <c r="J64" s="12">
        <v>21.748999999999999</v>
      </c>
    </row>
    <row r="65" spans="1:10" x14ac:dyDescent="0.35">
      <c r="A65" s="5" t="s">
        <v>51</v>
      </c>
      <c r="B65" s="43" t="s">
        <v>2029</v>
      </c>
      <c r="C65" s="43" t="s">
        <v>2007</v>
      </c>
      <c r="D65" s="43" t="s">
        <v>2006</v>
      </c>
      <c r="E65" s="6" t="s">
        <v>566</v>
      </c>
      <c r="F65" s="6" t="s">
        <v>567</v>
      </c>
      <c r="G65" s="8">
        <v>26085</v>
      </c>
      <c r="H65" s="15">
        <v>46166</v>
      </c>
      <c r="I65" s="7">
        <v>46151</v>
      </c>
      <c r="J65" s="12">
        <v>21.856999999999999</v>
      </c>
    </row>
    <row r="66" spans="1:10" x14ac:dyDescent="0.35">
      <c r="A66" s="5" t="s">
        <v>51</v>
      </c>
      <c r="B66" s="43" t="s">
        <v>2029</v>
      </c>
      <c r="C66" s="43" t="s">
        <v>2007</v>
      </c>
      <c r="D66" s="43" t="s">
        <v>2006</v>
      </c>
      <c r="E66" s="6" t="s">
        <v>568</v>
      </c>
      <c r="F66" s="6" t="s">
        <v>569</v>
      </c>
      <c r="G66" s="8">
        <v>25580</v>
      </c>
      <c r="H66" s="15">
        <v>46166</v>
      </c>
      <c r="I66" s="7">
        <v>46151</v>
      </c>
      <c r="J66" s="12">
        <v>21.773</v>
      </c>
    </row>
    <row r="67" spans="1:10" x14ac:dyDescent="0.35">
      <c r="A67" s="5" t="s">
        <v>570</v>
      </c>
      <c r="B67" s="43" t="s">
        <v>2042</v>
      </c>
      <c r="C67" s="43" t="s">
        <v>2022</v>
      </c>
      <c r="D67" s="43" t="s">
        <v>2001</v>
      </c>
      <c r="E67" s="6" t="s">
        <v>39</v>
      </c>
      <c r="F67" s="6" t="s">
        <v>40</v>
      </c>
      <c r="G67" s="8">
        <v>0</v>
      </c>
      <c r="H67" s="15">
        <v>46165</v>
      </c>
      <c r="I67" s="7">
        <v>46150</v>
      </c>
      <c r="J67" s="12">
        <v>0</v>
      </c>
    </row>
    <row r="68" spans="1:10" x14ac:dyDescent="0.35">
      <c r="A68" s="5" t="s">
        <v>250</v>
      </c>
      <c r="B68" s="43" t="s">
        <v>1989</v>
      </c>
      <c r="C68" s="43" t="s">
        <v>2016</v>
      </c>
      <c r="D68" s="43" t="s">
        <v>2014</v>
      </c>
      <c r="E68" s="6" t="s">
        <v>571</v>
      </c>
      <c r="F68" s="6" t="s">
        <v>572</v>
      </c>
      <c r="G68" s="8">
        <v>79</v>
      </c>
      <c r="H68" s="15">
        <v>46165</v>
      </c>
      <c r="I68" s="7">
        <v>46158</v>
      </c>
      <c r="J68" s="12">
        <v>6.5000000000000002E-2</v>
      </c>
    </row>
    <row r="69" spans="1:10" x14ac:dyDescent="0.35">
      <c r="A69" s="5" t="s">
        <v>265</v>
      </c>
      <c r="B69" s="43" t="s">
        <v>817</v>
      </c>
      <c r="C69" s="43" t="s">
        <v>2007</v>
      </c>
      <c r="D69" s="43" t="s">
        <v>2006</v>
      </c>
      <c r="E69" s="6" t="s">
        <v>573</v>
      </c>
      <c r="F69" s="6" t="s">
        <v>574</v>
      </c>
      <c r="G69" s="8">
        <v>0</v>
      </c>
      <c r="H69" s="15">
        <v>46165</v>
      </c>
      <c r="I69" s="7">
        <v>46158</v>
      </c>
      <c r="J69" s="12">
        <v>0</v>
      </c>
    </row>
    <row r="70" spans="1:10" x14ac:dyDescent="0.35">
      <c r="A70" s="5" t="s">
        <v>575</v>
      </c>
      <c r="B70" s="43" t="s">
        <v>2043</v>
      </c>
      <c r="C70" s="43" t="s">
        <v>2021</v>
      </c>
      <c r="D70" s="43" t="s">
        <v>2010</v>
      </c>
      <c r="E70" s="6" t="s">
        <v>576</v>
      </c>
      <c r="F70" s="6" t="s">
        <v>577</v>
      </c>
      <c r="G70" s="8">
        <v>0</v>
      </c>
      <c r="H70" s="15">
        <v>46159</v>
      </c>
      <c r="I70" s="7">
        <v>46129</v>
      </c>
      <c r="J70" s="12">
        <v>0</v>
      </c>
    </row>
    <row r="71" spans="1:10" x14ac:dyDescent="0.35">
      <c r="A71" s="5" t="s">
        <v>118</v>
      </c>
      <c r="B71" s="43" t="s">
        <v>1048</v>
      </c>
      <c r="C71" s="43" t="s">
        <v>2011</v>
      </c>
      <c r="D71" s="43" t="s">
        <v>1996</v>
      </c>
      <c r="E71" s="6" t="s">
        <v>492</v>
      </c>
      <c r="F71" s="6" t="s">
        <v>493</v>
      </c>
      <c r="G71" s="8">
        <v>6600</v>
      </c>
      <c r="H71" s="15">
        <v>46158</v>
      </c>
      <c r="I71" s="7">
        <v>46151</v>
      </c>
      <c r="J71" s="12">
        <v>3.7650000000000001</v>
      </c>
    </row>
    <row r="72" spans="1:10" x14ac:dyDescent="0.35">
      <c r="A72" s="5" t="s">
        <v>118</v>
      </c>
      <c r="B72" s="43" t="s">
        <v>1048</v>
      </c>
      <c r="C72" s="43" t="s">
        <v>2011</v>
      </c>
      <c r="D72" s="43" t="s">
        <v>1996</v>
      </c>
      <c r="E72" s="6" t="s">
        <v>490</v>
      </c>
      <c r="F72" s="6" t="s">
        <v>491</v>
      </c>
      <c r="G72" s="8">
        <v>15109</v>
      </c>
      <c r="H72" s="15">
        <v>46158</v>
      </c>
      <c r="I72" s="7">
        <v>46151</v>
      </c>
      <c r="J72" s="12">
        <v>12.226000000000001</v>
      </c>
    </row>
    <row r="73" spans="1:10" x14ac:dyDescent="0.35">
      <c r="A73" s="5" t="s">
        <v>575</v>
      </c>
      <c r="B73" s="43" t="s">
        <v>2043</v>
      </c>
      <c r="C73" s="43" t="s">
        <v>2021</v>
      </c>
      <c r="D73" s="43" t="s">
        <v>2010</v>
      </c>
      <c r="E73" s="6" t="s">
        <v>578</v>
      </c>
      <c r="F73" s="6" t="s">
        <v>579</v>
      </c>
      <c r="G73" s="8">
        <v>109</v>
      </c>
      <c r="H73" s="15">
        <v>46155</v>
      </c>
      <c r="I73" s="7">
        <v>46125</v>
      </c>
      <c r="J73" s="12">
        <v>0.76300000000000001</v>
      </c>
    </row>
    <row r="74" spans="1:10" x14ac:dyDescent="0.35">
      <c r="A74" s="5" t="s">
        <v>575</v>
      </c>
      <c r="B74" s="43" t="s">
        <v>2043</v>
      </c>
      <c r="C74" s="43" t="s">
        <v>2021</v>
      </c>
      <c r="D74" s="43" t="s">
        <v>2010</v>
      </c>
      <c r="E74" s="6" t="s">
        <v>580</v>
      </c>
      <c r="F74" s="6" t="s">
        <v>581</v>
      </c>
      <c r="G74" s="8">
        <v>122</v>
      </c>
      <c r="H74" s="15">
        <v>46155</v>
      </c>
      <c r="I74" s="7">
        <v>46125</v>
      </c>
      <c r="J74" s="12">
        <v>0.91800000000000004</v>
      </c>
    </row>
    <row r="75" spans="1:10" x14ac:dyDescent="0.35">
      <c r="A75" s="5" t="s">
        <v>575</v>
      </c>
      <c r="B75" s="43" t="s">
        <v>2043</v>
      </c>
      <c r="C75" s="43" t="s">
        <v>2021</v>
      </c>
      <c r="D75" s="43" t="s">
        <v>2010</v>
      </c>
      <c r="E75" s="6" t="s">
        <v>582</v>
      </c>
      <c r="F75" s="6" t="s">
        <v>583</v>
      </c>
      <c r="G75" s="8">
        <v>89</v>
      </c>
      <c r="H75" s="15">
        <v>46155</v>
      </c>
      <c r="I75" s="7">
        <v>46125</v>
      </c>
      <c r="J75" s="12">
        <v>0.66</v>
      </c>
    </row>
    <row r="76" spans="1:10" x14ac:dyDescent="0.35">
      <c r="A76" s="5" t="s">
        <v>575</v>
      </c>
      <c r="B76" s="43" t="s">
        <v>2043</v>
      </c>
      <c r="C76" s="43" t="s">
        <v>2021</v>
      </c>
      <c r="D76" s="43" t="s">
        <v>2010</v>
      </c>
      <c r="E76" s="6" t="s">
        <v>584</v>
      </c>
      <c r="F76" s="6" t="s">
        <v>585</v>
      </c>
      <c r="G76" s="8">
        <v>177</v>
      </c>
      <c r="H76" s="15">
        <v>46155</v>
      </c>
      <c r="I76" s="7">
        <v>46125</v>
      </c>
      <c r="J76" s="12">
        <v>1.5669999999999999</v>
      </c>
    </row>
    <row r="77" spans="1:10" x14ac:dyDescent="0.35">
      <c r="A77" s="5" t="s">
        <v>244</v>
      </c>
      <c r="B77" s="43" t="s">
        <v>2036</v>
      </c>
      <c r="C77" s="43" t="s">
        <v>2019</v>
      </c>
      <c r="D77" s="43" t="s">
        <v>2010</v>
      </c>
      <c r="E77" s="6" t="s">
        <v>492</v>
      </c>
      <c r="F77" s="6" t="s">
        <v>493</v>
      </c>
      <c r="G77" s="8">
        <v>3300</v>
      </c>
      <c r="H77" s="15">
        <v>46150</v>
      </c>
      <c r="I77" s="7">
        <v>46143</v>
      </c>
      <c r="J77" s="12">
        <v>19.661000000000001</v>
      </c>
    </row>
    <row r="78" spans="1:10" x14ac:dyDescent="0.35">
      <c r="A78" s="5" t="s">
        <v>575</v>
      </c>
      <c r="B78" s="43" t="s">
        <v>2043</v>
      </c>
      <c r="C78" s="43" t="s">
        <v>2021</v>
      </c>
      <c r="D78" s="43" t="s">
        <v>2010</v>
      </c>
      <c r="E78" s="6" t="s">
        <v>586</v>
      </c>
      <c r="F78" s="6" t="s">
        <v>587</v>
      </c>
      <c r="G78" s="8">
        <v>0</v>
      </c>
      <c r="H78" s="15">
        <v>46145</v>
      </c>
      <c r="I78" s="7">
        <v>46115</v>
      </c>
      <c r="J78" s="12">
        <v>0</v>
      </c>
    </row>
    <row r="79" spans="1:10" x14ac:dyDescent="0.35">
      <c r="A79" s="5" t="s">
        <v>575</v>
      </c>
      <c r="B79" s="43" t="s">
        <v>2043</v>
      </c>
      <c r="C79" s="43" t="s">
        <v>2021</v>
      </c>
      <c r="D79" s="43" t="s">
        <v>2010</v>
      </c>
      <c r="E79" s="6" t="s">
        <v>588</v>
      </c>
      <c r="F79" s="6" t="s">
        <v>589</v>
      </c>
      <c r="G79" s="8">
        <v>1</v>
      </c>
      <c r="H79" s="15">
        <v>46145</v>
      </c>
      <c r="I79" s="7">
        <v>46115</v>
      </c>
      <c r="J79" s="12">
        <v>0</v>
      </c>
    </row>
    <row r="80" spans="1:10" x14ac:dyDescent="0.35">
      <c r="A80" s="5" t="s">
        <v>575</v>
      </c>
      <c r="B80" s="43" t="s">
        <v>2043</v>
      </c>
      <c r="C80" s="43" t="s">
        <v>2021</v>
      </c>
      <c r="D80" s="43" t="s">
        <v>2010</v>
      </c>
      <c r="E80" s="6" t="s">
        <v>590</v>
      </c>
      <c r="F80" s="6" t="s">
        <v>591</v>
      </c>
      <c r="G80" s="8">
        <v>320</v>
      </c>
      <c r="H80" s="15">
        <v>46145</v>
      </c>
      <c r="I80" s="7">
        <v>46115</v>
      </c>
      <c r="J80" s="12">
        <v>0</v>
      </c>
    </row>
    <row r="81" spans="1:10" x14ac:dyDescent="0.35">
      <c r="A81" s="5" t="s">
        <v>575</v>
      </c>
      <c r="B81" s="43" t="s">
        <v>2043</v>
      </c>
      <c r="C81" s="43" t="s">
        <v>2021</v>
      </c>
      <c r="D81" s="43" t="s">
        <v>2010</v>
      </c>
      <c r="E81" s="6" t="s">
        <v>592</v>
      </c>
      <c r="F81" s="6" t="s">
        <v>593</v>
      </c>
      <c r="G81" s="8">
        <v>2244</v>
      </c>
      <c r="H81" s="15">
        <v>46145</v>
      </c>
      <c r="I81" s="7">
        <v>46115</v>
      </c>
      <c r="J81" s="12">
        <v>19.077000000000002</v>
      </c>
    </row>
    <row r="82" spans="1:10" x14ac:dyDescent="0.35">
      <c r="A82" s="5" t="s">
        <v>575</v>
      </c>
      <c r="B82" s="43" t="s">
        <v>2043</v>
      </c>
      <c r="C82" s="43" t="s">
        <v>2021</v>
      </c>
      <c r="D82" s="43" t="s">
        <v>2010</v>
      </c>
      <c r="E82" s="6" t="s">
        <v>594</v>
      </c>
      <c r="F82" s="6" t="s">
        <v>595</v>
      </c>
      <c r="G82" s="8">
        <v>0</v>
      </c>
      <c r="H82" s="15">
        <v>46145</v>
      </c>
      <c r="I82" s="7">
        <v>46115</v>
      </c>
      <c r="J82" s="12">
        <v>0</v>
      </c>
    </row>
    <row r="83" spans="1:10" x14ac:dyDescent="0.35">
      <c r="A83" s="5" t="s">
        <v>477</v>
      </c>
      <c r="B83" s="43" t="s">
        <v>2033</v>
      </c>
      <c r="C83" s="43" t="s">
        <v>2034</v>
      </c>
      <c r="D83" s="43" t="s">
        <v>2010</v>
      </c>
      <c r="E83" s="6" t="s">
        <v>596</v>
      </c>
      <c r="F83" s="6" t="s">
        <v>597</v>
      </c>
      <c r="G83" s="8">
        <v>107</v>
      </c>
      <c r="H83" s="15">
        <v>46143</v>
      </c>
      <c r="I83" s="7">
        <v>46113</v>
      </c>
      <c r="J83" s="12">
        <v>0</v>
      </c>
    </row>
    <row r="84" spans="1:10" x14ac:dyDescent="0.35">
      <c r="A84" s="5" t="s">
        <v>38</v>
      </c>
      <c r="B84" s="43" t="s">
        <v>803</v>
      </c>
      <c r="C84" s="43" t="s">
        <v>2018</v>
      </c>
      <c r="D84" s="43" t="s">
        <v>2006</v>
      </c>
      <c r="E84" s="6" t="s">
        <v>598</v>
      </c>
      <c r="F84" s="6" t="s">
        <v>599</v>
      </c>
      <c r="G84" s="8">
        <v>53108</v>
      </c>
      <c r="H84" s="15">
        <v>46139</v>
      </c>
      <c r="I84" s="7">
        <v>46124</v>
      </c>
      <c r="J84" s="12">
        <v>23.84</v>
      </c>
    </row>
    <row r="85" spans="1:10" x14ac:dyDescent="0.35">
      <c r="A85" s="5" t="s">
        <v>38</v>
      </c>
      <c r="B85" s="43" t="s">
        <v>803</v>
      </c>
      <c r="C85" s="43" t="s">
        <v>2018</v>
      </c>
      <c r="D85" s="43" t="s">
        <v>2006</v>
      </c>
      <c r="E85" s="6" t="s">
        <v>492</v>
      </c>
      <c r="F85" s="6" t="s">
        <v>493</v>
      </c>
      <c r="G85" s="8">
        <v>45051</v>
      </c>
      <c r="H85" s="15">
        <v>46139</v>
      </c>
      <c r="I85" s="7">
        <v>46124</v>
      </c>
      <c r="J85" s="12">
        <v>13.438000000000001</v>
      </c>
    </row>
    <row r="86" spans="1:10" x14ac:dyDescent="0.35">
      <c r="A86" s="5" t="s">
        <v>38</v>
      </c>
      <c r="B86" s="43" t="s">
        <v>803</v>
      </c>
      <c r="C86" s="43" t="s">
        <v>2018</v>
      </c>
      <c r="D86" s="43" t="s">
        <v>2006</v>
      </c>
      <c r="E86" s="6" t="s">
        <v>600</v>
      </c>
      <c r="F86" s="6" t="s">
        <v>601</v>
      </c>
      <c r="G86" s="8">
        <v>44550</v>
      </c>
      <c r="H86" s="15">
        <v>46131</v>
      </c>
      <c r="I86" s="7">
        <v>46124</v>
      </c>
      <c r="J86" s="12">
        <v>20.169</v>
      </c>
    </row>
    <row r="87" spans="1:10" x14ac:dyDescent="0.35">
      <c r="A87" s="5" t="s">
        <v>38</v>
      </c>
      <c r="B87" s="43" t="s">
        <v>803</v>
      </c>
      <c r="C87" s="43" t="s">
        <v>2018</v>
      </c>
      <c r="D87" s="43" t="s">
        <v>2006</v>
      </c>
      <c r="E87" s="6" t="s">
        <v>602</v>
      </c>
      <c r="F87" s="6" t="s">
        <v>603</v>
      </c>
      <c r="G87" s="8">
        <v>1577</v>
      </c>
      <c r="H87" s="15">
        <v>46131</v>
      </c>
      <c r="I87" s="7">
        <v>46124</v>
      </c>
      <c r="J87" s="12">
        <v>0.59299999999999997</v>
      </c>
    </row>
    <row r="88" spans="1:10" x14ac:dyDescent="0.35">
      <c r="A88" s="5" t="s">
        <v>575</v>
      </c>
      <c r="B88" s="43" t="s">
        <v>2043</v>
      </c>
      <c r="C88" s="43" t="s">
        <v>2021</v>
      </c>
      <c r="D88" s="43" t="s">
        <v>2010</v>
      </c>
      <c r="E88" s="6" t="s">
        <v>604</v>
      </c>
      <c r="F88" s="6" t="s">
        <v>553</v>
      </c>
      <c r="G88" s="8">
        <v>15</v>
      </c>
      <c r="H88" s="15">
        <v>46130</v>
      </c>
      <c r="I88" s="7">
        <v>46115</v>
      </c>
      <c r="J88" s="12">
        <v>0.14899999999999999</v>
      </c>
    </row>
    <row r="89" spans="1:10" x14ac:dyDescent="0.35">
      <c r="A89" s="5" t="s">
        <v>575</v>
      </c>
      <c r="B89" s="43" t="s">
        <v>2043</v>
      </c>
      <c r="C89" s="43" t="s">
        <v>2021</v>
      </c>
      <c r="D89" s="43" t="s">
        <v>2010</v>
      </c>
      <c r="E89" s="6" t="s">
        <v>605</v>
      </c>
      <c r="F89" s="6" t="s">
        <v>555</v>
      </c>
      <c r="G89" s="8">
        <v>4</v>
      </c>
      <c r="H89" s="15">
        <v>46130</v>
      </c>
      <c r="I89" s="7">
        <v>46115</v>
      </c>
      <c r="J89" s="12">
        <v>2.3E-2</v>
      </c>
    </row>
    <row r="90" spans="1:10" x14ac:dyDescent="0.35">
      <c r="A90" s="5" t="s">
        <v>575</v>
      </c>
      <c r="B90" s="43" t="s">
        <v>2043</v>
      </c>
      <c r="C90" s="43" t="s">
        <v>2021</v>
      </c>
      <c r="D90" s="43" t="s">
        <v>2010</v>
      </c>
      <c r="E90" s="6" t="s">
        <v>606</v>
      </c>
      <c r="F90" s="6" t="s">
        <v>557</v>
      </c>
      <c r="G90" s="8">
        <v>6</v>
      </c>
      <c r="H90" s="15">
        <v>46130</v>
      </c>
      <c r="I90" s="7">
        <v>46115</v>
      </c>
      <c r="J90" s="12">
        <v>4.5999999999999999E-2</v>
      </c>
    </row>
    <row r="91" spans="1:10" x14ac:dyDescent="0.35">
      <c r="A91" s="5" t="s">
        <v>105</v>
      </c>
      <c r="B91" s="43" t="s">
        <v>2028</v>
      </c>
      <c r="C91" s="43" t="s">
        <v>2022</v>
      </c>
      <c r="D91" s="43" t="s">
        <v>2001</v>
      </c>
      <c r="E91" s="6" t="s">
        <v>490</v>
      </c>
      <c r="F91" s="6" t="s">
        <v>491</v>
      </c>
      <c r="G91" s="8">
        <v>10842</v>
      </c>
      <c r="H91" s="15">
        <v>46113</v>
      </c>
      <c r="I91" s="7">
        <v>46098</v>
      </c>
      <c r="J91" s="12">
        <v>3.3050000000000002</v>
      </c>
    </row>
    <row r="92" spans="1:10" x14ac:dyDescent="0.35">
      <c r="A92" s="5" t="s">
        <v>105</v>
      </c>
      <c r="B92" s="43" t="s">
        <v>2028</v>
      </c>
      <c r="C92" s="43" t="s">
        <v>2022</v>
      </c>
      <c r="D92" s="43" t="s">
        <v>2001</v>
      </c>
      <c r="E92" s="6" t="s">
        <v>492</v>
      </c>
      <c r="F92" s="6" t="s">
        <v>493</v>
      </c>
      <c r="G92" s="8">
        <v>24150</v>
      </c>
      <c r="H92" s="15">
        <v>46113</v>
      </c>
      <c r="I92" s="7">
        <v>46098</v>
      </c>
      <c r="J92" s="12">
        <v>5.6520000000000001</v>
      </c>
    </row>
    <row r="93" spans="1:10" x14ac:dyDescent="0.35">
      <c r="A93" s="5" t="s">
        <v>158</v>
      </c>
      <c r="B93" s="43" t="s">
        <v>2026</v>
      </c>
      <c r="C93" s="43" t="s">
        <v>1995</v>
      </c>
      <c r="D93" s="43" t="s">
        <v>1996</v>
      </c>
      <c r="E93" s="6" t="s">
        <v>39</v>
      </c>
      <c r="F93" s="6" t="s">
        <v>40</v>
      </c>
      <c r="G93" s="8">
        <v>48</v>
      </c>
      <c r="H93" s="15">
        <v>46110</v>
      </c>
      <c r="I93" s="7">
        <v>46103</v>
      </c>
      <c r="J93" s="12">
        <v>0</v>
      </c>
    </row>
    <row r="94" spans="1:10" x14ac:dyDescent="0.35">
      <c r="A94" s="5" t="s">
        <v>280</v>
      </c>
      <c r="B94" s="43" t="s">
        <v>2031</v>
      </c>
      <c r="C94" s="43" t="s">
        <v>2005</v>
      </c>
      <c r="D94" s="43" t="s">
        <v>2006</v>
      </c>
      <c r="E94" s="6" t="s">
        <v>566</v>
      </c>
      <c r="F94" s="6" t="s">
        <v>567</v>
      </c>
      <c r="G94" s="8">
        <v>20176</v>
      </c>
      <c r="H94" s="15">
        <v>46104</v>
      </c>
      <c r="I94" s="7">
        <v>46097</v>
      </c>
      <c r="J94" s="12">
        <v>23.207000000000001</v>
      </c>
    </row>
    <row r="95" spans="1:10" x14ac:dyDescent="0.35">
      <c r="A95" s="5" t="s">
        <v>280</v>
      </c>
      <c r="B95" s="43" t="s">
        <v>2031</v>
      </c>
      <c r="C95" s="43" t="s">
        <v>2005</v>
      </c>
      <c r="D95" s="43" t="s">
        <v>2006</v>
      </c>
      <c r="E95" s="6" t="s">
        <v>564</v>
      </c>
      <c r="F95" s="6" t="s">
        <v>565</v>
      </c>
      <c r="G95" s="8">
        <v>19651</v>
      </c>
      <c r="H95" s="15">
        <v>46104</v>
      </c>
      <c r="I95" s="7">
        <v>46097</v>
      </c>
      <c r="J95" s="12">
        <v>22.611999999999998</v>
      </c>
    </row>
    <row r="96" spans="1:10" x14ac:dyDescent="0.35">
      <c r="A96" s="5" t="s">
        <v>280</v>
      </c>
      <c r="B96" s="43" t="s">
        <v>2031</v>
      </c>
      <c r="C96" s="43" t="s">
        <v>2005</v>
      </c>
      <c r="D96" s="43" t="s">
        <v>2006</v>
      </c>
      <c r="E96" s="6" t="s">
        <v>568</v>
      </c>
      <c r="F96" s="6" t="s">
        <v>569</v>
      </c>
      <c r="G96" s="8">
        <v>19651</v>
      </c>
      <c r="H96" s="15">
        <v>46104</v>
      </c>
      <c r="I96" s="7">
        <v>46097</v>
      </c>
      <c r="J96" s="12">
        <v>22.257999999999999</v>
      </c>
    </row>
    <row r="97" spans="1:10" x14ac:dyDescent="0.35">
      <c r="A97" s="5" t="s">
        <v>280</v>
      </c>
      <c r="B97" s="43" t="s">
        <v>2031</v>
      </c>
      <c r="C97" s="43" t="s">
        <v>2005</v>
      </c>
      <c r="D97" s="43" t="s">
        <v>2006</v>
      </c>
      <c r="E97" s="6" t="s">
        <v>490</v>
      </c>
      <c r="F97" s="6" t="s">
        <v>491</v>
      </c>
      <c r="G97" s="8">
        <v>19058</v>
      </c>
      <c r="H97" s="15">
        <v>46101</v>
      </c>
      <c r="I97" s="7">
        <v>46086</v>
      </c>
      <c r="J97" s="12">
        <v>22.213000000000001</v>
      </c>
    </row>
    <row r="98" spans="1:10" x14ac:dyDescent="0.35">
      <c r="A98" s="5" t="s">
        <v>280</v>
      </c>
      <c r="B98" s="43" t="s">
        <v>2031</v>
      </c>
      <c r="C98" s="43" t="s">
        <v>2005</v>
      </c>
      <c r="D98" s="43" t="s">
        <v>2006</v>
      </c>
      <c r="E98" s="6" t="s">
        <v>492</v>
      </c>
      <c r="F98" s="6" t="s">
        <v>493</v>
      </c>
      <c r="G98" s="8">
        <v>19059</v>
      </c>
      <c r="H98" s="15">
        <v>46101</v>
      </c>
      <c r="I98" s="7">
        <v>46086</v>
      </c>
      <c r="J98" s="12">
        <v>22.218</v>
      </c>
    </row>
    <row r="99" spans="1:10" x14ac:dyDescent="0.35">
      <c r="A99" s="5" t="s">
        <v>348</v>
      </c>
      <c r="B99" s="43" t="s">
        <v>1580</v>
      </c>
      <c r="C99" s="43" t="s">
        <v>2018</v>
      </c>
      <c r="D99" s="43" t="s">
        <v>2006</v>
      </c>
      <c r="E99" s="6" t="s">
        <v>607</v>
      </c>
      <c r="F99" s="6" t="s">
        <v>608</v>
      </c>
      <c r="G99" s="8">
        <v>0</v>
      </c>
      <c r="H99" s="15">
        <v>46070</v>
      </c>
      <c r="I99" s="7">
        <v>46040</v>
      </c>
      <c r="J99" s="12">
        <v>0</v>
      </c>
    </row>
    <row r="100" spans="1:10" x14ac:dyDescent="0.35">
      <c r="A100" s="5" t="s">
        <v>348</v>
      </c>
      <c r="B100" s="43" t="s">
        <v>1580</v>
      </c>
      <c r="C100" s="43" t="s">
        <v>2018</v>
      </c>
      <c r="D100" s="43" t="s">
        <v>2006</v>
      </c>
      <c r="E100" s="6" t="s">
        <v>39</v>
      </c>
      <c r="F100" s="6" t="s">
        <v>40</v>
      </c>
      <c r="G100" s="8">
        <v>0</v>
      </c>
      <c r="H100" s="15">
        <v>46070</v>
      </c>
      <c r="I100" s="7">
        <v>46040</v>
      </c>
      <c r="J100" s="12">
        <v>0</v>
      </c>
    </row>
    <row r="101" spans="1:10" x14ac:dyDescent="0.35">
      <c r="A101" s="5" t="s">
        <v>280</v>
      </c>
      <c r="B101" s="43" t="s">
        <v>2031</v>
      </c>
      <c r="C101" s="43" t="s">
        <v>2005</v>
      </c>
      <c r="D101" s="43" t="s">
        <v>2006</v>
      </c>
      <c r="E101" s="6" t="s">
        <v>609</v>
      </c>
      <c r="F101" s="6" t="s">
        <v>610</v>
      </c>
      <c r="G101" s="8">
        <v>0</v>
      </c>
      <c r="H101" s="15">
        <v>46068</v>
      </c>
      <c r="I101" s="7">
        <v>46053</v>
      </c>
      <c r="J101" s="12">
        <v>0</v>
      </c>
    </row>
    <row r="102" spans="1:10" x14ac:dyDescent="0.35">
      <c r="A102" s="5" t="s">
        <v>611</v>
      </c>
      <c r="B102" s="43" t="s">
        <v>1747</v>
      </c>
      <c r="C102" s="43" t="s">
        <v>2017</v>
      </c>
      <c r="D102" s="43" t="s">
        <v>2014</v>
      </c>
      <c r="E102" s="6" t="s">
        <v>490</v>
      </c>
      <c r="F102" s="6" t="s">
        <v>491</v>
      </c>
      <c r="G102" s="8">
        <v>25459</v>
      </c>
      <c r="H102" s="15">
        <v>46066</v>
      </c>
      <c r="I102" s="7">
        <v>46059</v>
      </c>
      <c r="J102" s="12">
        <v>18.268000000000001</v>
      </c>
    </row>
    <row r="103" spans="1:10" x14ac:dyDescent="0.35">
      <c r="A103" s="5" t="s">
        <v>570</v>
      </c>
      <c r="B103" s="43" t="s">
        <v>2042</v>
      </c>
      <c r="C103" s="43" t="s">
        <v>2022</v>
      </c>
      <c r="D103" s="43" t="s">
        <v>2001</v>
      </c>
      <c r="E103" s="6" t="s">
        <v>492</v>
      </c>
      <c r="F103" s="6" t="s">
        <v>493</v>
      </c>
      <c r="G103" s="8">
        <v>73469</v>
      </c>
      <c r="H103" s="15">
        <v>46052</v>
      </c>
      <c r="I103" s="7">
        <v>46037</v>
      </c>
      <c r="J103" s="12">
        <v>23.718</v>
      </c>
    </row>
    <row r="104" spans="1:10" x14ac:dyDescent="0.35">
      <c r="A104" s="5" t="s">
        <v>570</v>
      </c>
      <c r="B104" s="43" t="s">
        <v>2042</v>
      </c>
      <c r="C104" s="43" t="s">
        <v>2022</v>
      </c>
      <c r="D104" s="43" t="s">
        <v>2001</v>
      </c>
      <c r="E104" s="6" t="s">
        <v>490</v>
      </c>
      <c r="F104" s="6" t="s">
        <v>491</v>
      </c>
      <c r="G104" s="8">
        <v>73008</v>
      </c>
      <c r="H104" s="15">
        <v>46052</v>
      </c>
      <c r="I104" s="7">
        <v>46037</v>
      </c>
      <c r="J104" s="12">
        <v>23.713000000000001</v>
      </c>
    </row>
    <row r="105" spans="1:10" x14ac:dyDescent="0.35">
      <c r="A105" s="5" t="s">
        <v>280</v>
      </c>
      <c r="B105" s="43" t="s">
        <v>2031</v>
      </c>
      <c r="C105" s="43" t="s">
        <v>2005</v>
      </c>
      <c r="D105" s="43" t="s">
        <v>2006</v>
      </c>
      <c r="E105" s="6" t="s">
        <v>612</v>
      </c>
      <c r="F105" s="6" t="s">
        <v>613</v>
      </c>
      <c r="G105" s="8">
        <v>0</v>
      </c>
      <c r="H105" s="15">
        <v>46041</v>
      </c>
      <c r="I105" s="7">
        <v>46026</v>
      </c>
      <c r="J105" s="12">
        <v>0</v>
      </c>
    </row>
    <row r="106" spans="1:10" x14ac:dyDescent="0.35">
      <c r="A106" s="5" t="s">
        <v>130</v>
      </c>
      <c r="B106" s="43" t="s">
        <v>2044</v>
      </c>
      <c r="C106" s="43" t="s">
        <v>2034</v>
      </c>
      <c r="D106" s="43" t="s">
        <v>2010</v>
      </c>
      <c r="E106" s="6" t="s">
        <v>492</v>
      </c>
      <c r="F106" s="6" t="s">
        <v>493</v>
      </c>
      <c r="G106" s="8">
        <v>6592</v>
      </c>
      <c r="H106" s="15">
        <v>46007</v>
      </c>
      <c r="I106" s="7">
        <v>45992</v>
      </c>
      <c r="J106" s="12">
        <v>17.399000000000001</v>
      </c>
    </row>
    <row r="107" spans="1:10" x14ac:dyDescent="0.35">
      <c r="A107" s="5" t="s">
        <v>130</v>
      </c>
      <c r="B107" s="43" t="s">
        <v>2044</v>
      </c>
      <c r="C107" s="43" t="s">
        <v>2034</v>
      </c>
      <c r="D107" s="43" t="s">
        <v>2010</v>
      </c>
      <c r="E107" s="6" t="s">
        <v>490</v>
      </c>
      <c r="F107" s="6" t="s">
        <v>491</v>
      </c>
      <c r="G107" s="8">
        <v>6463</v>
      </c>
      <c r="H107" s="15">
        <v>46007</v>
      </c>
      <c r="I107" s="7">
        <v>45992</v>
      </c>
      <c r="J107" s="12">
        <v>17.003</v>
      </c>
    </row>
    <row r="108" spans="1:10" x14ac:dyDescent="0.35">
      <c r="A108" s="5" t="s">
        <v>130</v>
      </c>
      <c r="B108" s="43" t="s">
        <v>2044</v>
      </c>
      <c r="C108" s="43" t="s">
        <v>2034</v>
      </c>
      <c r="D108" s="43" t="s">
        <v>2010</v>
      </c>
      <c r="E108" s="6" t="s">
        <v>564</v>
      </c>
      <c r="F108" s="6" t="s">
        <v>565</v>
      </c>
      <c r="G108" s="8">
        <v>8962</v>
      </c>
      <c r="H108" s="15">
        <v>46007</v>
      </c>
      <c r="I108" s="7">
        <v>45992</v>
      </c>
      <c r="J108" s="12">
        <v>23.436</v>
      </c>
    </row>
    <row r="109" spans="1:10" x14ac:dyDescent="0.35">
      <c r="A109" s="5" t="s">
        <v>130</v>
      </c>
      <c r="B109" s="43" t="s">
        <v>2044</v>
      </c>
      <c r="C109" s="43" t="s">
        <v>2034</v>
      </c>
      <c r="D109" s="43" t="s">
        <v>2010</v>
      </c>
      <c r="E109" s="6" t="s">
        <v>568</v>
      </c>
      <c r="F109" s="6" t="s">
        <v>569</v>
      </c>
      <c r="G109" s="8">
        <v>8934</v>
      </c>
      <c r="H109" s="15">
        <v>46007</v>
      </c>
      <c r="I109" s="7">
        <v>45992</v>
      </c>
      <c r="J109" s="12">
        <v>23.347999999999999</v>
      </c>
    </row>
    <row r="110" spans="1:10" x14ac:dyDescent="0.35">
      <c r="A110" s="5" t="s">
        <v>130</v>
      </c>
      <c r="B110" s="43" t="s">
        <v>2044</v>
      </c>
      <c r="C110" s="43" t="s">
        <v>2034</v>
      </c>
      <c r="D110" s="43" t="s">
        <v>2010</v>
      </c>
      <c r="E110" s="6" t="s">
        <v>566</v>
      </c>
      <c r="F110" s="6" t="s">
        <v>567</v>
      </c>
      <c r="G110" s="8">
        <v>9008</v>
      </c>
      <c r="H110" s="15">
        <v>46007</v>
      </c>
      <c r="I110" s="7">
        <v>45992</v>
      </c>
      <c r="J110" s="12">
        <v>23.893999999999998</v>
      </c>
    </row>
    <row r="111" spans="1:10" x14ac:dyDescent="0.35">
      <c r="A111" s="5" t="s">
        <v>67</v>
      </c>
      <c r="B111" s="43" t="s">
        <v>1033</v>
      </c>
      <c r="C111" s="43" t="s">
        <v>1997</v>
      </c>
      <c r="D111" s="43" t="s">
        <v>1996</v>
      </c>
      <c r="E111" s="6" t="s">
        <v>492</v>
      </c>
      <c r="F111" s="6" t="s">
        <v>493</v>
      </c>
      <c r="G111" s="8">
        <v>11444</v>
      </c>
      <c r="H111" s="15">
        <v>45994</v>
      </c>
      <c r="I111" s="7">
        <v>45987</v>
      </c>
      <c r="J111" s="12">
        <v>12.619</v>
      </c>
    </row>
    <row r="112" spans="1:10" x14ac:dyDescent="0.35">
      <c r="A112" s="5" t="s">
        <v>67</v>
      </c>
      <c r="B112" s="43" t="s">
        <v>1033</v>
      </c>
      <c r="C112" s="43" t="s">
        <v>1997</v>
      </c>
      <c r="D112" s="43" t="s">
        <v>1996</v>
      </c>
      <c r="E112" s="6" t="s">
        <v>568</v>
      </c>
      <c r="F112" s="6" t="s">
        <v>569</v>
      </c>
      <c r="G112" s="8">
        <v>11918</v>
      </c>
      <c r="H112" s="15">
        <v>45994</v>
      </c>
      <c r="I112" s="7">
        <v>45987</v>
      </c>
      <c r="J112" s="12">
        <v>10.881</v>
      </c>
    </row>
    <row r="113" spans="1:10" x14ac:dyDescent="0.35">
      <c r="A113" s="5" t="s">
        <v>67</v>
      </c>
      <c r="B113" s="43" t="s">
        <v>1033</v>
      </c>
      <c r="C113" s="43" t="s">
        <v>1997</v>
      </c>
      <c r="D113" s="43" t="s">
        <v>1996</v>
      </c>
      <c r="E113" s="6" t="s">
        <v>614</v>
      </c>
      <c r="F113" s="6" t="s">
        <v>615</v>
      </c>
      <c r="G113" s="8">
        <v>0</v>
      </c>
      <c r="H113" s="15">
        <v>45994</v>
      </c>
      <c r="I113" s="7">
        <v>45987</v>
      </c>
      <c r="J113" s="12">
        <v>0</v>
      </c>
    </row>
    <row r="114" spans="1:10" x14ac:dyDescent="0.35">
      <c r="A114" s="5" t="s">
        <v>67</v>
      </c>
      <c r="B114" s="43" t="s">
        <v>1033</v>
      </c>
      <c r="C114" s="43" t="s">
        <v>1997</v>
      </c>
      <c r="D114" s="43" t="s">
        <v>1996</v>
      </c>
      <c r="E114" s="6" t="s">
        <v>490</v>
      </c>
      <c r="F114" s="6" t="s">
        <v>491</v>
      </c>
      <c r="G114" s="8">
        <v>11717</v>
      </c>
      <c r="H114" s="15">
        <v>45994</v>
      </c>
      <c r="I114" s="7">
        <v>45987</v>
      </c>
      <c r="J114" s="12">
        <v>12.869</v>
      </c>
    </row>
    <row r="115" spans="1:10" x14ac:dyDescent="0.35">
      <c r="A115" s="5" t="s">
        <v>67</v>
      </c>
      <c r="B115" s="43" t="s">
        <v>1033</v>
      </c>
      <c r="C115" s="43" t="s">
        <v>1997</v>
      </c>
      <c r="D115" s="43" t="s">
        <v>1996</v>
      </c>
      <c r="E115" s="6" t="s">
        <v>616</v>
      </c>
      <c r="F115" s="6" t="s">
        <v>617</v>
      </c>
      <c r="G115" s="8">
        <v>4093</v>
      </c>
      <c r="H115" s="15">
        <v>45994</v>
      </c>
      <c r="I115" s="7">
        <v>45987</v>
      </c>
      <c r="J115" s="12">
        <v>7.117</v>
      </c>
    </row>
    <row r="116" spans="1:10" x14ac:dyDescent="0.35">
      <c r="A116" s="5" t="s">
        <v>67</v>
      </c>
      <c r="B116" s="43" t="s">
        <v>1033</v>
      </c>
      <c r="C116" s="43" t="s">
        <v>1997</v>
      </c>
      <c r="D116" s="43" t="s">
        <v>1996</v>
      </c>
      <c r="E116" s="6" t="s">
        <v>564</v>
      </c>
      <c r="F116" s="6" t="s">
        <v>565</v>
      </c>
      <c r="G116" s="8">
        <v>2918</v>
      </c>
      <c r="H116" s="15">
        <v>45994</v>
      </c>
      <c r="I116" s="7">
        <v>45987</v>
      </c>
      <c r="J116" s="12">
        <v>5.0730000000000004</v>
      </c>
    </row>
    <row r="117" spans="1:10" x14ac:dyDescent="0.35">
      <c r="A117" s="5" t="s">
        <v>38</v>
      </c>
      <c r="B117" s="43" t="s">
        <v>803</v>
      </c>
      <c r="C117" s="43" t="s">
        <v>2018</v>
      </c>
      <c r="D117" s="43" t="s">
        <v>2006</v>
      </c>
      <c r="E117" s="6" t="s">
        <v>39</v>
      </c>
      <c r="F117" s="6" t="s">
        <v>40</v>
      </c>
      <c r="G117" s="8">
        <v>1870</v>
      </c>
      <c r="H117" s="15">
        <v>45954</v>
      </c>
      <c r="I117" s="7">
        <v>45939</v>
      </c>
      <c r="J117" s="12">
        <v>1.7729999999999999</v>
      </c>
    </row>
    <row r="118" spans="1:10" x14ac:dyDescent="0.35">
      <c r="A118" s="5" t="s">
        <v>372</v>
      </c>
      <c r="B118" s="43" t="s">
        <v>1559</v>
      </c>
      <c r="C118" s="43" t="s">
        <v>2003</v>
      </c>
      <c r="D118" s="43" t="s">
        <v>2004</v>
      </c>
      <c r="E118" s="6" t="s">
        <v>45</v>
      </c>
      <c r="F118" s="6" t="s">
        <v>45</v>
      </c>
      <c r="G118" s="8">
        <v>4135</v>
      </c>
      <c r="H118" s="15">
        <v>45865</v>
      </c>
      <c r="I118" s="7">
        <v>45858</v>
      </c>
      <c r="J118" s="12">
        <v>0</v>
      </c>
    </row>
    <row r="119" spans="1:10" x14ac:dyDescent="0.35">
      <c r="A119" s="5" t="s">
        <v>463</v>
      </c>
      <c r="B119" s="43" t="s">
        <v>2045</v>
      </c>
      <c r="C119" s="43" t="s">
        <v>2008</v>
      </c>
      <c r="D119" s="43" t="s">
        <v>1996</v>
      </c>
      <c r="E119" s="6" t="s">
        <v>618</v>
      </c>
      <c r="F119" s="6" t="s">
        <v>619</v>
      </c>
      <c r="G119" s="8">
        <v>1047</v>
      </c>
      <c r="H119" s="15">
        <v>45855</v>
      </c>
      <c r="I119" s="7">
        <v>45848</v>
      </c>
      <c r="J119" s="12">
        <v>2.2280000000000002</v>
      </c>
    </row>
    <row r="120" spans="1:10" x14ac:dyDescent="0.35">
      <c r="A120" s="5" t="s">
        <v>408</v>
      </c>
      <c r="B120" s="43" t="s">
        <v>2046</v>
      </c>
      <c r="C120" s="43" t="s">
        <v>1995</v>
      </c>
      <c r="D120" s="43" t="s">
        <v>1996</v>
      </c>
      <c r="E120" s="6" t="s">
        <v>600</v>
      </c>
      <c r="F120" s="6" t="s">
        <v>601</v>
      </c>
      <c r="G120" s="8">
        <v>74809</v>
      </c>
      <c r="H120" s="15">
        <v>45827</v>
      </c>
      <c r="I120" s="7">
        <v>45820</v>
      </c>
      <c r="J120" s="12">
        <v>10.028</v>
      </c>
    </row>
    <row r="121" spans="1:10" x14ac:dyDescent="0.35">
      <c r="A121" s="5" t="s">
        <v>408</v>
      </c>
      <c r="B121" s="43" t="s">
        <v>2046</v>
      </c>
      <c r="C121" s="43" t="s">
        <v>1995</v>
      </c>
      <c r="D121" s="43" t="s">
        <v>1996</v>
      </c>
      <c r="E121" s="6" t="s">
        <v>39</v>
      </c>
      <c r="F121" s="6" t="s">
        <v>40</v>
      </c>
      <c r="G121" s="8">
        <v>0</v>
      </c>
      <c r="H121" s="15">
        <v>45788</v>
      </c>
      <c r="I121" s="7">
        <v>45781</v>
      </c>
      <c r="J121" s="12">
        <v>0</v>
      </c>
    </row>
    <row r="122" spans="1:10" x14ac:dyDescent="0.35">
      <c r="A122" s="5" t="s">
        <v>620</v>
      </c>
      <c r="B122" s="43" t="s">
        <v>2027</v>
      </c>
      <c r="C122" s="43" t="s">
        <v>2024</v>
      </c>
      <c r="D122" s="43" t="s">
        <v>2010</v>
      </c>
      <c r="E122" s="6" t="s">
        <v>492</v>
      </c>
      <c r="F122" s="6" t="s">
        <v>493</v>
      </c>
      <c r="G122" s="8">
        <v>42047</v>
      </c>
      <c r="H122" s="15">
        <v>45730</v>
      </c>
      <c r="I122" s="7">
        <v>45715</v>
      </c>
      <c r="J122" s="12">
        <v>19.486000000000001</v>
      </c>
    </row>
    <row r="123" spans="1:10" x14ac:dyDescent="0.35">
      <c r="A123" s="5" t="s">
        <v>620</v>
      </c>
      <c r="B123" s="43" t="s">
        <v>2027</v>
      </c>
      <c r="C123" s="43" t="s">
        <v>2024</v>
      </c>
      <c r="D123" s="43" t="s">
        <v>2010</v>
      </c>
      <c r="E123" s="6" t="s">
        <v>490</v>
      </c>
      <c r="F123" s="6" t="s">
        <v>491</v>
      </c>
      <c r="G123" s="8">
        <v>42872</v>
      </c>
      <c r="H123" s="15">
        <v>45730</v>
      </c>
      <c r="I123" s="7">
        <v>45715</v>
      </c>
      <c r="J123" s="12">
        <v>19.527000000000001</v>
      </c>
    </row>
    <row r="124" spans="1:10" x14ac:dyDescent="0.35">
      <c r="A124" s="5" t="s">
        <v>158</v>
      </c>
      <c r="B124" s="43" t="s">
        <v>2026</v>
      </c>
      <c r="C124" s="43" t="s">
        <v>1995</v>
      </c>
      <c r="D124" s="43" t="s">
        <v>1996</v>
      </c>
      <c r="E124" s="6" t="s">
        <v>621</v>
      </c>
      <c r="F124" s="6" t="s">
        <v>622</v>
      </c>
      <c r="G124" s="8">
        <v>0</v>
      </c>
      <c r="H124" s="15"/>
      <c r="I124" s="7"/>
      <c r="J124" s="12">
        <v>0</v>
      </c>
    </row>
    <row r="125" spans="1:10" x14ac:dyDescent="0.35">
      <c r="A125" s="5" t="s">
        <v>158</v>
      </c>
      <c r="B125" s="43" t="s">
        <v>2026</v>
      </c>
      <c r="C125" s="43" t="s">
        <v>1995</v>
      </c>
      <c r="D125" s="43" t="s">
        <v>1996</v>
      </c>
      <c r="E125" s="6" t="s">
        <v>623</v>
      </c>
      <c r="F125" s="6" t="s">
        <v>624</v>
      </c>
      <c r="G125" s="8">
        <v>0</v>
      </c>
      <c r="H125" s="15"/>
      <c r="I125" s="7"/>
      <c r="J125" s="12">
        <v>0</v>
      </c>
    </row>
    <row r="126" spans="1:10" x14ac:dyDescent="0.35">
      <c r="A126" s="5" t="s">
        <v>158</v>
      </c>
      <c r="B126" s="43" t="s">
        <v>2026</v>
      </c>
      <c r="C126" s="43" t="s">
        <v>1995</v>
      </c>
      <c r="D126" s="43" t="s">
        <v>1996</v>
      </c>
      <c r="E126" s="6" t="s">
        <v>625</v>
      </c>
      <c r="F126" s="6" t="s">
        <v>626</v>
      </c>
      <c r="G126" s="8">
        <v>0</v>
      </c>
      <c r="H126" s="15"/>
      <c r="I126" s="7"/>
      <c r="J126" s="12">
        <v>0</v>
      </c>
    </row>
    <row r="127" spans="1:10" x14ac:dyDescent="0.35">
      <c r="A127" s="5" t="s">
        <v>158</v>
      </c>
      <c r="B127" s="43" t="s">
        <v>2026</v>
      </c>
      <c r="C127" s="43" t="s">
        <v>1995</v>
      </c>
      <c r="D127" s="43" t="s">
        <v>1996</v>
      </c>
      <c r="E127" s="6" t="s">
        <v>627</v>
      </c>
      <c r="F127" s="6" t="s">
        <v>628</v>
      </c>
      <c r="G127" s="8">
        <v>0</v>
      </c>
      <c r="H127" s="15"/>
      <c r="I127" s="7"/>
      <c r="J127" s="12">
        <v>0</v>
      </c>
    </row>
    <row r="128" spans="1:10" x14ac:dyDescent="0.35">
      <c r="A128" s="5" t="s">
        <v>158</v>
      </c>
      <c r="B128" s="43" t="s">
        <v>2026</v>
      </c>
      <c r="C128" s="43" t="s">
        <v>1995</v>
      </c>
      <c r="D128" s="43" t="s">
        <v>1996</v>
      </c>
      <c r="E128" s="6" t="s">
        <v>629</v>
      </c>
      <c r="F128" s="6" t="s">
        <v>630</v>
      </c>
      <c r="G128" s="8">
        <v>0</v>
      </c>
      <c r="H128" s="15"/>
      <c r="I128" s="7"/>
      <c r="J128" s="12">
        <v>0</v>
      </c>
    </row>
    <row r="129" spans="1:10" x14ac:dyDescent="0.35">
      <c r="A129" s="5" t="s">
        <v>158</v>
      </c>
      <c r="B129" s="43" t="s">
        <v>2026</v>
      </c>
      <c r="C129" s="43" t="s">
        <v>1995</v>
      </c>
      <c r="D129" s="43" t="s">
        <v>1996</v>
      </c>
      <c r="E129" s="6" t="s">
        <v>631</v>
      </c>
      <c r="F129" s="6" t="s">
        <v>632</v>
      </c>
      <c r="G129" s="8">
        <v>0</v>
      </c>
      <c r="H129" s="15"/>
      <c r="I129" s="7"/>
      <c r="J129" s="12">
        <v>0</v>
      </c>
    </row>
    <row r="130" spans="1:10" x14ac:dyDescent="0.35">
      <c r="A130" s="5" t="s">
        <v>158</v>
      </c>
      <c r="B130" s="43" t="s">
        <v>2026</v>
      </c>
      <c r="C130" s="43" t="s">
        <v>1995</v>
      </c>
      <c r="D130" s="43" t="s">
        <v>1996</v>
      </c>
      <c r="E130" s="6" t="s">
        <v>633</v>
      </c>
      <c r="F130" s="6" t="s">
        <v>634</v>
      </c>
      <c r="G130" s="8">
        <v>0</v>
      </c>
      <c r="H130" s="15"/>
      <c r="I130" s="7"/>
      <c r="J130" s="12">
        <v>0</v>
      </c>
    </row>
    <row r="131" spans="1:10" x14ac:dyDescent="0.35">
      <c r="A131" s="5" t="s">
        <v>158</v>
      </c>
      <c r="B131" s="43" t="s">
        <v>2026</v>
      </c>
      <c r="C131" s="43" t="s">
        <v>1995</v>
      </c>
      <c r="D131" s="43" t="s">
        <v>1996</v>
      </c>
      <c r="E131" s="6" t="s">
        <v>635</v>
      </c>
      <c r="F131" s="6" t="s">
        <v>636</v>
      </c>
      <c r="G131" s="8">
        <v>0</v>
      </c>
      <c r="H131" s="15"/>
      <c r="I131" s="7"/>
      <c r="J131" s="12">
        <v>0</v>
      </c>
    </row>
    <row r="132" spans="1:10" x14ac:dyDescent="0.35">
      <c r="A132" s="5" t="s">
        <v>158</v>
      </c>
      <c r="B132" s="43" t="s">
        <v>2026</v>
      </c>
      <c r="C132" s="43" t="s">
        <v>1995</v>
      </c>
      <c r="D132" s="43" t="s">
        <v>1996</v>
      </c>
      <c r="E132" s="6" t="s">
        <v>637</v>
      </c>
      <c r="F132" s="6" t="s">
        <v>638</v>
      </c>
      <c r="G132" s="8">
        <v>0</v>
      </c>
      <c r="H132" s="15"/>
      <c r="I132" s="7"/>
      <c r="J132" s="12">
        <v>0</v>
      </c>
    </row>
    <row r="133" spans="1:10" x14ac:dyDescent="0.35">
      <c r="A133" s="5" t="s">
        <v>158</v>
      </c>
      <c r="B133" s="43" t="s">
        <v>2026</v>
      </c>
      <c r="C133" s="43" t="s">
        <v>1995</v>
      </c>
      <c r="D133" s="43" t="s">
        <v>1996</v>
      </c>
      <c r="E133" s="6" t="s">
        <v>639</v>
      </c>
      <c r="F133" s="6" t="s">
        <v>640</v>
      </c>
      <c r="G133" s="8">
        <v>0</v>
      </c>
      <c r="H133" s="15"/>
      <c r="I133" s="7"/>
      <c r="J133" s="12">
        <v>0</v>
      </c>
    </row>
    <row r="134" spans="1:10" x14ac:dyDescent="0.35">
      <c r="A134" s="5" t="s">
        <v>158</v>
      </c>
      <c r="B134" s="43" t="s">
        <v>2026</v>
      </c>
      <c r="C134" s="43" t="s">
        <v>1995</v>
      </c>
      <c r="D134" s="43" t="s">
        <v>1996</v>
      </c>
      <c r="E134" s="6" t="s">
        <v>641</v>
      </c>
      <c r="F134" s="6" t="s">
        <v>642</v>
      </c>
      <c r="G134" s="8">
        <v>0</v>
      </c>
      <c r="H134" s="15"/>
      <c r="I134" s="7"/>
      <c r="J134" s="12">
        <v>0</v>
      </c>
    </row>
    <row r="135" spans="1:10" x14ac:dyDescent="0.35">
      <c r="A135" s="5" t="s">
        <v>158</v>
      </c>
      <c r="B135" s="43" t="s">
        <v>2026</v>
      </c>
      <c r="C135" s="43" t="s">
        <v>1995</v>
      </c>
      <c r="D135" s="43" t="s">
        <v>1996</v>
      </c>
      <c r="E135" s="6" t="s">
        <v>643</v>
      </c>
      <c r="F135" s="6" t="s">
        <v>644</v>
      </c>
      <c r="G135" s="8">
        <v>0</v>
      </c>
      <c r="H135" s="15"/>
      <c r="I135" s="7"/>
      <c r="J135" s="12">
        <v>0</v>
      </c>
    </row>
    <row r="136" spans="1:10" x14ac:dyDescent="0.35">
      <c r="A136" s="5" t="s">
        <v>158</v>
      </c>
      <c r="B136" s="43" t="s">
        <v>2026</v>
      </c>
      <c r="C136" s="43" t="s">
        <v>1995</v>
      </c>
      <c r="D136" s="43" t="s">
        <v>1996</v>
      </c>
      <c r="E136" s="6" t="s">
        <v>645</v>
      </c>
      <c r="F136" s="6" t="s">
        <v>646</v>
      </c>
      <c r="G136" s="8">
        <v>0</v>
      </c>
      <c r="H136" s="15"/>
      <c r="I136" s="7"/>
      <c r="J136" s="12">
        <v>0</v>
      </c>
    </row>
    <row r="137" spans="1:10" x14ac:dyDescent="0.35">
      <c r="A137" s="5" t="s">
        <v>158</v>
      </c>
      <c r="B137" s="43" t="s">
        <v>2026</v>
      </c>
      <c r="C137" s="43" t="s">
        <v>1995</v>
      </c>
      <c r="D137" s="43" t="s">
        <v>1996</v>
      </c>
      <c r="E137" s="6" t="s">
        <v>647</v>
      </c>
      <c r="F137" s="6" t="s">
        <v>648</v>
      </c>
      <c r="G137" s="8">
        <v>0</v>
      </c>
      <c r="H137" s="15"/>
      <c r="I137" s="7"/>
      <c r="J137" s="12">
        <v>0</v>
      </c>
    </row>
    <row r="138" spans="1:10" x14ac:dyDescent="0.35">
      <c r="A138" s="5" t="s">
        <v>158</v>
      </c>
      <c r="B138" s="43" t="s">
        <v>2026</v>
      </c>
      <c r="C138" s="43" t="s">
        <v>1995</v>
      </c>
      <c r="D138" s="43" t="s">
        <v>1996</v>
      </c>
      <c r="E138" s="6" t="s">
        <v>614</v>
      </c>
      <c r="F138" s="6" t="s">
        <v>615</v>
      </c>
      <c r="G138" s="8">
        <v>0</v>
      </c>
      <c r="H138" s="15"/>
      <c r="I138" s="7"/>
      <c r="J138" s="12">
        <v>0</v>
      </c>
    </row>
    <row r="139" spans="1:10" x14ac:dyDescent="0.35">
      <c r="A139" s="5" t="s">
        <v>408</v>
      </c>
      <c r="B139" s="43" t="s">
        <v>2046</v>
      </c>
      <c r="C139" s="43" t="s">
        <v>1995</v>
      </c>
      <c r="D139" s="43" t="s">
        <v>1996</v>
      </c>
      <c r="E139" s="6" t="s">
        <v>503</v>
      </c>
      <c r="F139" s="6" t="s">
        <v>504</v>
      </c>
      <c r="G139" s="8">
        <v>0</v>
      </c>
      <c r="H139" s="15"/>
      <c r="I139" s="7"/>
      <c r="J139" s="12">
        <v>0</v>
      </c>
    </row>
    <row r="140" spans="1:10" x14ac:dyDescent="0.35">
      <c r="A140" s="5" t="s">
        <v>408</v>
      </c>
      <c r="B140" s="43" t="s">
        <v>2046</v>
      </c>
      <c r="C140" s="43" t="s">
        <v>1995</v>
      </c>
      <c r="D140" s="43" t="s">
        <v>1996</v>
      </c>
      <c r="E140" s="6" t="s">
        <v>499</v>
      </c>
      <c r="F140" s="6" t="s">
        <v>500</v>
      </c>
      <c r="G140" s="8">
        <v>0</v>
      </c>
      <c r="H140" s="15"/>
      <c r="I140" s="7"/>
      <c r="J140" s="12">
        <v>0</v>
      </c>
    </row>
    <row r="141" spans="1:10" x14ac:dyDescent="0.35">
      <c r="A141" s="5" t="s">
        <v>408</v>
      </c>
      <c r="B141" s="43" t="s">
        <v>2046</v>
      </c>
      <c r="C141" s="43" t="s">
        <v>1995</v>
      </c>
      <c r="D141" s="43" t="s">
        <v>1996</v>
      </c>
      <c r="E141" s="6" t="s">
        <v>537</v>
      </c>
      <c r="F141" s="6" t="s">
        <v>538</v>
      </c>
      <c r="G141" s="8">
        <v>0</v>
      </c>
      <c r="H141" s="15"/>
      <c r="I141" s="7"/>
      <c r="J141" s="12">
        <v>0</v>
      </c>
    </row>
    <row r="142" spans="1:10" x14ac:dyDescent="0.35">
      <c r="A142" s="5" t="s">
        <v>408</v>
      </c>
      <c r="B142" s="43" t="s">
        <v>2046</v>
      </c>
      <c r="C142" s="43" t="s">
        <v>1995</v>
      </c>
      <c r="D142" s="43" t="s">
        <v>1996</v>
      </c>
      <c r="E142" s="6" t="s">
        <v>614</v>
      </c>
      <c r="F142" s="6" t="s">
        <v>615</v>
      </c>
      <c r="G142" s="8">
        <v>0</v>
      </c>
      <c r="H142" s="15"/>
      <c r="I142" s="7"/>
      <c r="J142" s="12">
        <v>0</v>
      </c>
    </row>
    <row r="143" spans="1:10" x14ac:dyDescent="0.35">
      <c r="A143" s="5" t="s">
        <v>494</v>
      </c>
      <c r="B143" s="43" t="s">
        <v>2037</v>
      </c>
      <c r="C143" s="43" t="s">
        <v>2012</v>
      </c>
      <c r="D143" s="43" t="s">
        <v>2001</v>
      </c>
      <c r="E143" s="6" t="s">
        <v>649</v>
      </c>
      <c r="F143" s="6" t="s">
        <v>650</v>
      </c>
      <c r="G143" s="8">
        <v>0</v>
      </c>
      <c r="H143" s="15"/>
      <c r="I143" s="7"/>
      <c r="J143" s="12">
        <v>0</v>
      </c>
    </row>
    <row r="144" spans="1:10" x14ac:dyDescent="0.35">
      <c r="A144" s="5" t="s">
        <v>494</v>
      </c>
      <c r="B144" s="43" t="s">
        <v>2037</v>
      </c>
      <c r="C144" s="43" t="s">
        <v>2012</v>
      </c>
      <c r="D144" s="43" t="s">
        <v>2001</v>
      </c>
      <c r="E144" s="6" t="s">
        <v>651</v>
      </c>
      <c r="F144" s="6" t="s">
        <v>652</v>
      </c>
      <c r="G144" s="8">
        <v>0</v>
      </c>
      <c r="H144" s="15"/>
      <c r="I144" s="7"/>
      <c r="J144" s="12">
        <v>0</v>
      </c>
    </row>
    <row r="145" spans="1:10" x14ac:dyDescent="0.35">
      <c r="A145" s="5" t="s">
        <v>494</v>
      </c>
      <c r="B145" s="43" t="s">
        <v>2037</v>
      </c>
      <c r="C145" s="43" t="s">
        <v>2012</v>
      </c>
      <c r="D145" s="43" t="s">
        <v>2001</v>
      </c>
      <c r="E145" s="6" t="s">
        <v>653</v>
      </c>
      <c r="F145" s="6" t="s">
        <v>654</v>
      </c>
      <c r="G145" s="8">
        <v>0</v>
      </c>
      <c r="H145" s="15"/>
      <c r="I145" s="7"/>
      <c r="J145" s="12">
        <v>0</v>
      </c>
    </row>
    <row r="146" spans="1:10" x14ac:dyDescent="0.35">
      <c r="A146" s="5" t="s">
        <v>494</v>
      </c>
      <c r="B146" s="43" t="s">
        <v>2037</v>
      </c>
      <c r="C146" s="43" t="s">
        <v>2012</v>
      </c>
      <c r="D146" s="43" t="s">
        <v>2001</v>
      </c>
      <c r="E146" s="6" t="s">
        <v>655</v>
      </c>
      <c r="F146" s="6" t="s">
        <v>656</v>
      </c>
      <c r="G146" s="8">
        <v>0</v>
      </c>
      <c r="H146" s="15"/>
      <c r="I146" s="7"/>
      <c r="J146" s="12">
        <v>0</v>
      </c>
    </row>
    <row r="147" spans="1:10" x14ac:dyDescent="0.35">
      <c r="A147" s="5" t="s">
        <v>494</v>
      </c>
      <c r="B147" s="43" t="s">
        <v>2037</v>
      </c>
      <c r="C147" s="43" t="s">
        <v>2012</v>
      </c>
      <c r="D147" s="43" t="s">
        <v>2001</v>
      </c>
      <c r="E147" s="6" t="s">
        <v>657</v>
      </c>
      <c r="F147" s="6" t="s">
        <v>658</v>
      </c>
      <c r="G147" s="8">
        <v>0</v>
      </c>
      <c r="H147" s="15"/>
      <c r="I147" s="7"/>
      <c r="J147" s="12">
        <v>0</v>
      </c>
    </row>
    <row r="148" spans="1:10" x14ac:dyDescent="0.35">
      <c r="A148" s="5" t="s">
        <v>494</v>
      </c>
      <c r="B148" s="43" t="s">
        <v>2037</v>
      </c>
      <c r="C148" s="43" t="s">
        <v>2012</v>
      </c>
      <c r="D148" s="43" t="s">
        <v>2001</v>
      </c>
      <c r="E148" s="6" t="s">
        <v>659</v>
      </c>
      <c r="F148" s="6" t="s">
        <v>660</v>
      </c>
      <c r="G148" s="8">
        <v>0</v>
      </c>
      <c r="H148" s="15"/>
      <c r="I148" s="7"/>
      <c r="J148" s="12">
        <v>0</v>
      </c>
    </row>
    <row r="149" spans="1:10" x14ac:dyDescent="0.35">
      <c r="A149" s="5" t="s">
        <v>494</v>
      </c>
      <c r="B149" s="43" t="s">
        <v>2037</v>
      </c>
      <c r="C149" s="43" t="s">
        <v>2012</v>
      </c>
      <c r="D149" s="43" t="s">
        <v>2001</v>
      </c>
      <c r="E149" s="6" t="s">
        <v>661</v>
      </c>
      <c r="F149" s="6" t="s">
        <v>662</v>
      </c>
      <c r="G149" s="8">
        <v>0</v>
      </c>
      <c r="H149" s="15"/>
      <c r="I149" s="7"/>
      <c r="J149" s="12">
        <v>0</v>
      </c>
    </row>
    <row r="150" spans="1:10" x14ac:dyDescent="0.35">
      <c r="A150" s="5" t="s">
        <v>494</v>
      </c>
      <c r="B150" s="43" t="s">
        <v>2037</v>
      </c>
      <c r="C150" s="43" t="s">
        <v>2012</v>
      </c>
      <c r="D150" s="43" t="s">
        <v>2001</v>
      </c>
      <c r="E150" s="6" t="s">
        <v>663</v>
      </c>
      <c r="F150" s="6" t="s">
        <v>664</v>
      </c>
      <c r="G150" s="8">
        <v>0</v>
      </c>
      <c r="H150" s="15"/>
      <c r="I150" s="7"/>
      <c r="J150" s="12">
        <v>0</v>
      </c>
    </row>
    <row r="151" spans="1:10" x14ac:dyDescent="0.35">
      <c r="A151" s="5" t="s">
        <v>494</v>
      </c>
      <c r="B151" s="43" t="s">
        <v>2037</v>
      </c>
      <c r="C151" s="43" t="s">
        <v>2012</v>
      </c>
      <c r="D151" s="43" t="s">
        <v>2001</v>
      </c>
      <c r="E151" s="6" t="s">
        <v>665</v>
      </c>
      <c r="F151" s="6" t="s">
        <v>666</v>
      </c>
      <c r="G151" s="8">
        <v>0</v>
      </c>
      <c r="H151" s="15"/>
      <c r="I151" s="7"/>
      <c r="J151" s="12">
        <v>0</v>
      </c>
    </row>
    <row r="152" spans="1:10" x14ac:dyDescent="0.35">
      <c r="A152" s="5" t="s">
        <v>494</v>
      </c>
      <c r="B152" s="43" t="s">
        <v>2037</v>
      </c>
      <c r="C152" s="43" t="s">
        <v>2012</v>
      </c>
      <c r="D152" s="43" t="s">
        <v>2001</v>
      </c>
      <c r="E152" s="6" t="s">
        <v>667</v>
      </c>
      <c r="F152" s="6" t="s">
        <v>668</v>
      </c>
      <c r="G152" s="8">
        <v>0</v>
      </c>
      <c r="H152" s="15"/>
      <c r="I152" s="7"/>
      <c r="J152" s="12">
        <v>0</v>
      </c>
    </row>
    <row r="153" spans="1:10" x14ac:dyDescent="0.35">
      <c r="A153" s="5" t="s">
        <v>494</v>
      </c>
      <c r="B153" s="43" t="s">
        <v>2037</v>
      </c>
      <c r="C153" s="43" t="s">
        <v>2012</v>
      </c>
      <c r="D153" s="43" t="s">
        <v>2001</v>
      </c>
      <c r="E153" s="6" t="s">
        <v>669</v>
      </c>
      <c r="F153" s="6" t="s">
        <v>670</v>
      </c>
      <c r="G153" s="8">
        <v>0</v>
      </c>
      <c r="H153" s="15"/>
      <c r="I153" s="7"/>
      <c r="J153" s="12">
        <v>0</v>
      </c>
    </row>
    <row r="154" spans="1:10" x14ac:dyDescent="0.35">
      <c r="A154" s="5" t="s">
        <v>494</v>
      </c>
      <c r="B154" s="43" t="s">
        <v>2037</v>
      </c>
      <c r="C154" s="43" t="s">
        <v>2012</v>
      </c>
      <c r="D154" s="43" t="s">
        <v>2001</v>
      </c>
      <c r="E154" s="6" t="s">
        <v>671</v>
      </c>
      <c r="F154" s="6" t="s">
        <v>672</v>
      </c>
      <c r="G154" s="8">
        <v>0</v>
      </c>
      <c r="H154" s="15"/>
      <c r="I154" s="7"/>
      <c r="J154" s="12">
        <v>0</v>
      </c>
    </row>
    <row r="155" spans="1:10" x14ac:dyDescent="0.35">
      <c r="A155" s="5" t="s">
        <v>210</v>
      </c>
      <c r="B155" s="43" t="s">
        <v>2047</v>
      </c>
      <c r="C155" s="43" t="s">
        <v>2009</v>
      </c>
      <c r="D155" s="43" t="s">
        <v>2010</v>
      </c>
      <c r="E155" s="6" t="s">
        <v>673</v>
      </c>
      <c r="F155" s="6" t="s">
        <v>674</v>
      </c>
      <c r="G155" s="8">
        <v>0</v>
      </c>
      <c r="H155" s="15"/>
      <c r="I155" s="7"/>
      <c r="J155" s="12">
        <v>0</v>
      </c>
    </row>
    <row r="156" spans="1:10" x14ac:dyDescent="0.35">
      <c r="A156" s="5" t="s">
        <v>130</v>
      </c>
      <c r="B156" s="43" t="s">
        <v>2044</v>
      </c>
      <c r="C156" s="43" t="s">
        <v>2034</v>
      </c>
      <c r="D156" s="43" t="s">
        <v>2010</v>
      </c>
      <c r="E156" s="6" t="s">
        <v>573</v>
      </c>
      <c r="F156" s="6" t="s">
        <v>574</v>
      </c>
      <c r="G156" s="8">
        <v>0</v>
      </c>
      <c r="H156" s="15"/>
      <c r="I156" s="7"/>
      <c r="J156" s="12">
        <v>0</v>
      </c>
    </row>
    <row r="157" spans="1:10" x14ac:dyDescent="0.35">
      <c r="A157" s="5" t="s">
        <v>130</v>
      </c>
      <c r="B157" s="43" t="s">
        <v>2044</v>
      </c>
      <c r="C157" s="43" t="s">
        <v>2034</v>
      </c>
      <c r="D157" s="43" t="s">
        <v>2010</v>
      </c>
      <c r="E157" s="6" t="s">
        <v>673</v>
      </c>
      <c r="F157" s="6" t="s">
        <v>674</v>
      </c>
      <c r="G157" s="8">
        <v>0</v>
      </c>
      <c r="H157" s="15"/>
      <c r="I157" s="7"/>
      <c r="J157" s="12">
        <v>0</v>
      </c>
    </row>
    <row r="158" spans="1:10" x14ac:dyDescent="0.35">
      <c r="A158" s="5" t="s">
        <v>575</v>
      </c>
      <c r="B158" s="43" t="s">
        <v>2043</v>
      </c>
      <c r="C158" s="43" t="s">
        <v>2021</v>
      </c>
      <c r="D158" s="43" t="s">
        <v>2010</v>
      </c>
      <c r="E158" s="6" t="s">
        <v>675</v>
      </c>
      <c r="F158" s="6" t="s">
        <v>676</v>
      </c>
      <c r="G158" s="8">
        <v>0</v>
      </c>
      <c r="H158" s="15"/>
      <c r="I158" s="7"/>
      <c r="J158" s="12">
        <v>0</v>
      </c>
    </row>
    <row r="159" spans="1:10" x14ac:dyDescent="0.35">
      <c r="A159" s="5" t="s">
        <v>575</v>
      </c>
      <c r="B159" s="43" t="s">
        <v>2043</v>
      </c>
      <c r="C159" s="43" t="s">
        <v>2021</v>
      </c>
      <c r="D159" s="43" t="s">
        <v>2010</v>
      </c>
      <c r="E159" s="6" t="s">
        <v>677</v>
      </c>
      <c r="F159" s="6" t="s">
        <v>678</v>
      </c>
      <c r="G159" s="8">
        <v>0</v>
      </c>
      <c r="H159" s="15"/>
      <c r="I159" s="7"/>
      <c r="J159" s="12">
        <v>0</v>
      </c>
    </row>
    <row r="160" spans="1:10" x14ac:dyDescent="0.35">
      <c r="A160" s="5" t="s">
        <v>679</v>
      </c>
      <c r="B160" s="43" t="s">
        <v>2048</v>
      </c>
      <c r="C160" s="43" t="s">
        <v>2049</v>
      </c>
      <c r="D160" s="43" t="s">
        <v>2001</v>
      </c>
      <c r="E160" s="6" t="s">
        <v>680</v>
      </c>
      <c r="F160" s="6" t="s">
        <v>681</v>
      </c>
      <c r="G160" s="8">
        <v>0</v>
      </c>
      <c r="H160" s="15"/>
      <c r="I160" s="7"/>
      <c r="J160" s="12">
        <v>0</v>
      </c>
    </row>
    <row r="161" spans="1:10" x14ac:dyDescent="0.35">
      <c r="A161" s="5" t="s">
        <v>679</v>
      </c>
      <c r="B161" s="43" t="s">
        <v>2048</v>
      </c>
      <c r="C161" s="43" t="s">
        <v>2049</v>
      </c>
      <c r="D161" s="43" t="s">
        <v>2001</v>
      </c>
      <c r="E161" s="6" t="s">
        <v>682</v>
      </c>
      <c r="F161" s="6" t="s">
        <v>683</v>
      </c>
      <c r="G161" s="8">
        <v>0</v>
      </c>
      <c r="H161" s="15"/>
      <c r="I161" s="7"/>
      <c r="J161" s="12">
        <v>0</v>
      </c>
    </row>
    <row r="162" spans="1:10" x14ac:dyDescent="0.35">
      <c r="A162" s="5" t="s">
        <v>679</v>
      </c>
      <c r="B162" s="43" t="s">
        <v>2048</v>
      </c>
      <c r="C162" s="43" t="s">
        <v>2049</v>
      </c>
      <c r="D162" s="43" t="s">
        <v>2001</v>
      </c>
      <c r="E162" s="6" t="s">
        <v>684</v>
      </c>
      <c r="F162" s="6" t="s">
        <v>565</v>
      </c>
      <c r="G162" s="8">
        <v>0</v>
      </c>
      <c r="H162" s="15"/>
      <c r="I162" s="7"/>
      <c r="J162" s="12">
        <v>0</v>
      </c>
    </row>
    <row r="163" spans="1:10" x14ac:dyDescent="0.35">
      <c r="A163" s="5" t="s">
        <v>679</v>
      </c>
      <c r="B163" s="43" t="s">
        <v>2048</v>
      </c>
      <c r="C163" s="43" t="s">
        <v>2049</v>
      </c>
      <c r="D163" s="43" t="s">
        <v>2001</v>
      </c>
      <c r="E163" s="6" t="s">
        <v>685</v>
      </c>
      <c r="F163" s="6" t="s">
        <v>569</v>
      </c>
      <c r="G163" s="8">
        <v>0</v>
      </c>
      <c r="H163" s="15"/>
      <c r="I163" s="7"/>
      <c r="J163" s="12">
        <v>0</v>
      </c>
    </row>
    <row r="164" spans="1:10" x14ac:dyDescent="0.35">
      <c r="A164" s="5" t="s">
        <v>679</v>
      </c>
      <c r="B164" s="43" t="s">
        <v>2048</v>
      </c>
      <c r="C164" s="43" t="s">
        <v>2049</v>
      </c>
      <c r="D164" s="43" t="s">
        <v>2001</v>
      </c>
      <c r="E164" s="6" t="s">
        <v>686</v>
      </c>
      <c r="F164" s="6" t="s">
        <v>687</v>
      </c>
      <c r="G164" s="8">
        <v>0</v>
      </c>
      <c r="H164" s="15"/>
      <c r="I164" s="7"/>
      <c r="J164" s="12">
        <v>0</v>
      </c>
    </row>
    <row r="165" spans="1:10" x14ac:dyDescent="0.35">
      <c r="A165" s="5" t="s">
        <v>679</v>
      </c>
      <c r="B165" s="43" t="s">
        <v>2048</v>
      </c>
      <c r="C165" s="43" t="s">
        <v>2049</v>
      </c>
      <c r="D165" s="43" t="s">
        <v>2001</v>
      </c>
      <c r="E165" s="6" t="s">
        <v>688</v>
      </c>
      <c r="F165" s="6" t="s">
        <v>689</v>
      </c>
      <c r="G165" s="8">
        <v>0</v>
      </c>
      <c r="H165" s="15"/>
      <c r="I165" s="7"/>
      <c r="J165" s="12">
        <v>0</v>
      </c>
    </row>
    <row r="166" spans="1:10" x14ac:dyDescent="0.35">
      <c r="A166" s="5" t="s">
        <v>679</v>
      </c>
      <c r="B166" s="43" t="s">
        <v>2048</v>
      </c>
      <c r="C166" s="43" t="s">
        <v>2049</v>
      </c>
      <c r="D166" s="43" t="s">
        <v>2001</v>
      </c>
      <c r="E166" s="6" t="s">
        <v>690</v>
      </c>
      <c r="F166" s="6" t="s">
        <v>691</v>
      </c>
      <c r="G166" s="8">
        <v>0</v>
      </c>
      <c r="H166" s="15"/>
      <c r="I166" s="7"/>
      <c r="J166" s="12">
        <v>0</v>
      </c>
    </row>
    <row r="167" spans="1:10" x14ac:dyDescent="0.35">
      <c r="A167" s="5" t="s">
        <v>679</v>
      </c>
      <c r="B167" s="43" t="s">
        <v>2048</v>
      </c>
      <c r="C167" s="43" t="s">
        <v>2049</v>
      </c>
      <c r="D167" s="43" t="s">
        <v>2001</v>
      </c>
      <c r="E167" s="6" t="s">
        <v>692</v>
      </c>
      <c r="F167" s="6" t="s">
        <v>693</v>
      </c>
      <c r="G167" s="8">
        <v>25198</v>
      </c>
      <c r="H167" s="15"/>
      <c r="I167" s="7">
        <v>46179</v>
      </c>
      <c r="J167" s="12">
        <v>0</v>
      </c>
    </row>
    <row r="168" spans="1:10" x14ac:dyDescent="0.35">
      <c r="A168" s="5" t="s">
        <v>679</v>
      </c>
      <c r="B168" s="43" t="s">
        <v>2048</v>
      </c>
      <c r="C168" s="43" t="s">
        <v>2049</v>
      </c>
      <c r="D168" s="43" t="s">
        <v>2001</v>
      </c>
      <c r="E168" s="6" t="s">
        <v>694</v>
      </c>
      <c r="F168" s="6" t="s">
        <v>695</v>
      </c>
      <c r="G168" s="8">
        <v>25198</v>
      </c>
      <c r="H168" s="15"/>
      <c r="I168" s="7">
        <v>46179</v>
      </c>
      <c r="J168" s="12">
        <v>0</v>
      </c>
    </row>
    <row r="169" spans="1:10" x14ac:dyDescent="0.35">
      <c r="A169" s="5" t="s">
        <v>679</v>
      </c>
      <c r="B169" s="43" t="s">
        <v>2048</v>
      </c>
      <c r="C169" s="43" t="s">
        <v>2049</v>
      </c>
      <c r="D169" s="43" t="s">
        <v>2001</v>
      </c>
      <c r="E169" s="6" t="s">
        <v>696</v>
      </c>
      <c r="F169" s="6" t="s">
        <v>697</v>
      </c>
      <c r="G169" s="8">
        <v>25198</v>
      </c>
      <c r="H169" s="15"/>
      <c r="I169" s="7">
        <v>46179</v>
      </c>
      <c r="J169" s="12">
        <v>0</v>
      </c>
    </row>
    <row r="170" spans="1:10" x14ac:dyDescent="0.35">
      <c r="A170" s="5" t="s">
        <v>679</v>
      </c>
      <c r="B170" s="43" t="s">
        <v>2048</v>
      </c>
      <c r="C170" s="43" t="s">
        <v>2049</v>
      </c>
      <c r="D170" s="43" t="s">
        <v>2001</v>
      </c>
      <c r="E170" s="6" t="s">
        <v>596</v>
      </c>
      <c r="F170" s="6" t="s">
        <v>40</v>
      </c>
      <c r="G170" s="8">
        <v>0</v>
      </c>
      <c r="H170" s="15"/>
      <c r="I170" s="7"/>
      <c r="J170" s="12">
        <v>0</v>
      </c>
    </row>
  </sheetData>
  <autoFilter ref="A2:K170" xr:uid="{200B165A-C2CE-4C72-8461-CB85629AB10B}"/>
  <hyperlinks>
    <hyperlink ref="C1" location="Summary!A1" display="Back to summary" xr:uid="{9FB233CB-6C51-4A9E-BBF6-73A796C8F45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5B48-8FF6-4CE7-9669-2E28677C63E8}">
  <dimension ref="A1:W43"/>
  <sheetViews>
    <sheetView workbookViewId="0"/>
  </sheetViews>
  <sheetFormatPr defaultRowHeight="14.5" x14ac:dyDescent="0.35"/>
  <cols>
    <col min="6" max="6" width="19.90625" bestFit="1" customWidth="1"/>
    <col min="7" max="7" width="16.54296875" bestFit="1" customWidth="1"/>
    <col min="8" max="8" width="10.08984375" bestFit="1" customWidth="1"/>
  </cols>
  <sheetData>
    <row r="1" spans="1:23" x14ac:dyDescent="0.35">
      <c r="F1" s="49" t="s">
        <v>2102</v>
      </c>
    </row>
    <row r="2" spans="1:23" x14ac:dyDescent="0.35">
      <c r="A2" s="1" t="s">
        <v>0</v>
      </c>
      <c r="B2" s="2" t="s">
        <v>698</v>
      </c>
      <c r="C2" s="2" t="s">
        <v>699</v>
      </c>
      <c r="D2" s="2" t="s">
        <v>700</v>
      </c>
      <c r="E2" s="2" t="s">
        <v>3</v>
      </c>
      <c r="F2" s="2" t="s">
        <v>4</v>
      </c>
      <c r="G2" s="2" t="s">
        <v>5</v>
      </c>
      <c r="H2" s="2" t="s">
        <v>6</v>
      </c>
      <c r="I2" s="2" t="s">
        <v>701</v>
      </c>
      <c r="J2" s="2" t="s">
        <v>702</v>
      </c>
      <c r="K2" s="2" t="s">
        <v>703</v>
      </c>
      <c r="L2" s="2" t="s">
        <v>704</v>
      </c>
      <c r="M2" s="2" t="s">
        <v>705</v>
      </c>
      <c r="N2" s="2" t="s">
        <v>706</v>
      </c>
      <c r="O2" s="2" t="s">
        <v>707</v>
      </c>
      <c r="P2" s="2" t="s">
        <v>708</v>
      </c>
      <c r="Q2" s="2" t="s">
        <v>709</v>
      </c>
      <c r="R2" s="2" t="s">
        <v>710</v>
      </c>
      <c r="S2" s="2" t="s">
        <v>711</v>
      </c>
      <c r="T2" s="2" t="s">
        <v>712</v>
      </c>
      <c r="U2" s="2" t="s">
        <v>713</v>
      </c>
      <c r="V2" s="2" t="s">
        <v>714</v>
      </c>
      <c r="W2" s="3" t="s">
        <v>715</v>
      </c>
    </row>
    <row r="3" spans="1:23" x14ac:dyDescent="0.35">
      <c r="A3" s="5" t="s">
        <v>716</v>
      </c>
      <c r="B3" s="6" t="s">
        <v>717</v>
      </c>
      <c r="C3" s="6" t="s">
        <v>45</v>
      </c>
      <c r="D3" s="16">
        <v>1</v>
      </c>
      <c r="E3" s="6" t="s">
        <v>718</v>
      </c>
      <c r="F3" s="6" t="s">
        <v>719</v>
      </c>
      <c r="G3" s="42" t="str">
        <f>VLOOKUP(E:E,'[2]Hakata Island Team'!$E:$G,3,)</f>
        <v xml:space="preserve">Sujith Sundaran </v>
      </c>
      <c r="H3" s="42" t="str">
        <f>VLOOKUP(E:E,'[2]Hakata Island Team'!$E:$H,4,)</f>
        <v>SPPL Fleet - B</v>
      </c>
      <c r="I3" s="6" t="s">
        <v>45</v>
      </c>
      <c r="J3" s="6" t="s">
        <v>720</v>
      </c>
      <c r="K3" s="6" t="s">
        <v>45</v>
      </c>
      <c r="L3" s="6" t="s">
        <v>45</v>
      </c>
      <c r="M3" s="17">
        <v>3</v>
      </c>
      <c r="N3" s="6" t="s">
        <v>45</v>
      </c>
      <c r="O3" s="6" t="s">
        <v>45</v>
      </c>
      <c r="P3" s="6" t="s">
        <v>721</v>
      </c>
      <c r="Q3" s="6" t="s">
        <v>45</v>
      </c>
      <c r="R3" s="6" t="s">
        <v>45</v>
      </c>
      <c r="S3" s="10">
        <v>0</v>
      </c>
      <c r="T3" s="18">
        <v>0</v>
      </c>
      <c r="U3" s="6" t="s">
        <v>722</v>
      </c>
      <c r="V3" s="6" t="s">
        <v>719</v>
      </c>
      <c r="W3" s="19" t="b">
        <f>TRUE()</f>
        <v>1</v>
      </c>
    </row>
    <row r="4" spans="1:23" x14ac:dyDescent="0.35">
      <c r="A4" s="5" t="s">
        <v>723</v>
      </c>
      <c r="B4" s="6" t="s">
        <v>724</v>
      </c>
      <c r="C4" s="6" t="s">
        <v>45</v>
      </c>
      <c r="D4" s="16">
        <v>1</v>
      </c>
      <c r="E4" s="6" t="s">
        <v>124</v>
      </c>
      <c r="F4" s="6" t="s">
        <v>725</v>
      </c>
      <c r="G4" s="6" t="str">
        <f>VLOOKUP(E:E,'[2]Hakata Island Team'!$E:$G,3,)</f>
        <v>Saravana Kumar Sundar</v>
      </c>
      <c r="H4" s="6" t="str">
        <f>VLOOKUP(E:E,'[2]Hakata Island Team'!$E:$H,4,)</f>
        <v xml:space="preserve">SPPL Fleet - A </v>
      </c>
      <c r="I4" s="6" t="s">
        <v>45</v>
      </c>
      <c r="J4" s="6" t="s">
        <v>720</v>
      </c>
      <c r="K4" s="6" t="s">
        <v>726</v>
      </c>
      <c r="L4" s="6" t="s">
        <v>727</v>
      </c>
      <c r="M4" s="17">
        <v>2</v>
      </c>
      <c r="N4" s="6" t="s">
        <v>45</v>
      </c>
      <c r="O4" s="6" t="s">
        <v>45</v>
      </c>
      <c r="P4" s="6" t="s">
        <v>721</v>
      </c>
      <c r="Q4" s="6" t="s">
        <v>45</v>
      </c>
      <c r="R4" s="6" t="s">
        <v>45</v>
      </c>
      <c r="S4" s="10">
        <v>0</v>
      </c>
      <c r="T4" s="18">
        <v>0</v>
      </c>
      <c r="U4" s="6" t="s">
        <v>728</v>
      </c>
      <c r="V4" s="6" t="s">
        <v>725</v>
      </c>
      <c r="W4" s="19" t="b">
        <f>TRUE()</f>
        <v>1</v>
      </c>
    </row>
    <row r="5" spans="1:23" x14ac:dyDescent="0.35">
      <c r="A5" s="5" t="s">
        <v>729</v>
      </c>
      <c r="B5" s="6" t="s">
        <v>730</v>
      </c>
      <c r="C5" s="6" t="s">
        <v>731</v>
      </c>
      <c r="D5" s="16">
        <v>0</v>
      </c>
      <c r="E5" s="6" t="s">
        <v>419</v>
      </c>
      <c r="F5" s="6" t="s">
        <v>732</v>
      </c>
      <c r="G5" s="6" t="str">
        <f>VLOOKUP(E:E,'[2]Hakata Island Team'!$E:$G,3,)</f>
        <v>Rupak Chundayil Kalam</v>
      </c>
      <c r="H5" s="6" t="str">
        <f>VLOOKUP(E:E,'[2]Hakata Island Team'!$E:$H,4,)</f>
        <v>SPPL Fleet - B</v>
      </c>
      <c r="I5" s="6" t="s">
        <v>733</v>
      </c>
      <c r="J5" s="6" t="s">
        <v>720</v>
      </c>
      <c r="K5" s="6" t="s">
        <v>45</v>
      </c>
      <c r="L5" s="6" t="s">
        <v>45</v>
      </c>
      <c r="M5" s="17">
        <v>2</v>
      </c>
      <c r="N5" s="6" t="s">
        <v>45</v>
      </c>
      <c r="O5" s="6" t="s">
        <v>734</v>
      </c>
      <c r="P5" s="6" t="s">
        <v>735</v>
      </c>
      <c r="Q5" s="6" t="s">
        <v>45</v>
      </c>
      <c r="R5" s="6" t="s">
        <v>45</v>
      </c>
      <c r="S5" s="10">
        <v>0</v>
      </c>
      <c r="T5" s="18">
        <v>0</v>
      </c>
      <c r="U5" s="6" t="s">
        <v>736</v>
      </c>
      <c r="V5" s="6" t="s">
        <v>732</v>
      </c>
      <c r="W5" s="19" t="b">
        <f>TRUE()</f>
        <v>1</v>
      </c>
    </row>
    <row r="6" spans="1:23" x14ac:dyDescent="0.35">
      <c r="A6" s="5" t="s">
        <v>737</v>
      </c>
      <c r="B6" s="6" t="s">
        <v>738</v>
      </c>
      <c r="C6" s="6" t="s">
        <v>731</v>
      </c>
      <c r="D6" s="16">
        <v>0</v>
      </c>
      <c r="E6" s="6" t="s">
        <v>419</v>
      </c>
      <c r="F6" s="6" t="s">
        <v>732</v>
      </c>
      <c r="G6" s="6" t="str">
        <f>VLOOKUP(E:E,'[2]Hakata Island Team'!$E:$G,3,)</f>
        <v>Rupak Chundayil Kalam</v>
      </c>
      <c r="H6" s="6" t="str">
        <f>VLOOKUP(E:E,'[2]Hakata Island Team'!$E:$H,4,)</f>
        <v>SPPL Fleet - B</v>
      </c>
      <c r="I6" s="6" t="s">
        <v>739</v>
      </c>
      <c r="J6" s="6" t="s">
        <v>720</v>
      </c>
      <c r="K6" s="6" t="s">
        <v>45</v>
      </c>
      <c r="L6" s="6" t="s">
        <v>45</v>
      </c>
      <c r="M6" s="17">
        <v>2</v>
      </c>
      <c r="N6" s="6" t="s">
        <v>45</v>
      </c>
      <c r="O6" s="6" t="s">
        <v>734</v>
      </c>
      <c r="P6" s="6" t="s">
        <v>735</v>
      </c>
      <c r="Q6" s="6" t="s">
        <v>45</v>
      </c>
      <c r="R6" s="6" t="s">
        <v>45</v>
      </c>
      <c r="S6" s="10">
        <v>0</v>
      </c>
      <c r="T6" s="18">
        <v>0</v>
      </c>
      <c r="U6" s="6" t="s">
        <v>736</v>
      </c>
      <c r="V6" s="6" t="s">
        <v>732</v>
      </c>
      <c r="W6" s="19" t="b">
        <f>TRUE()</f>
        <v>1</v>
      </c>
    </row>
    <row r="7" spans="1:23" x14ac:dyDescent="0.35">
      <c r="A7" s="5" t="s">
        <v>740</v>
      </c>
      <c r="B7" s="6" t="s">
        <v>741</v>
      </c>
      <c r="C7" s="6" t="s">
        <v>45</v>
      </c>
      <c r="D7" s="16">
        <v>1</v>
      </c>
      <c r="E7" s="6" t="s">
        <v>718</v>
      </c>
      <c r="F7" s="6" t="s">
        <v>719</v>
      </c>
      <c r="G7" s="6" t="str">
        <f>VLOOKUP(E:E,'[2]Hakata Island Team'!$E:$G,3,)</f>
        <v xml:space="preserve">Sujith Sundaran </v>
      </c>
      <c r="H7" s="6" t="str">
        <f>VLOOKUP(E:E,'[2]Hakata Island Team'!$E:$H,4,)</f>
        <v>SPPL Fleet - B</v>
      </c>
      <c r="I7" s="6" t="s">
        <v>742</v>
      </c>
      <c r="J7" s="6" t="s">
        <v>720</v>
      </c>
      <c r="K7" s="6" t="s">
        <v>743</v>
      </c>
      <c r="L7" s="6" t="s">
        <v>742</v>
      </c>
      <c r="M7" s="17">
        <v>2</v>
      </c>
      <c r="N7" s="6" t="s">
        <v>45</v>
      </c>
      <c r="O7" s="6" t="s">
        <v>744</v>
      </c>
      <c r="P7" s="6" t="s">
        <v>745</v>
      </c>
      <c r="Q7" s="6" t="s">
        <v>45</v>
      </c>
      <c r="R7" s="6" t="s">
        <v>45</v>
      </c>
      <c r="S7" s="10">
        <v>0</v>
      </c>
      <c r="T7" s="18">
        <v>0</v>
      </c>
      <c r="U7" s="6" t="s">
        <v>722</v>
      </c>
      <c r="V7" s="6" t="s">
        <v>719</v>
      </c>
      <c r="W7" s="19" t="b">
        <f>TRUE()</f>
        <v>1</v>
      </c>
    </row>
    <row r="8" spans="1:23" x14ac:dyDescent="0.35">
      <c r="A8" s="5" t="s">
        <v>746</v>
      </c>
      <c r="B8" s="6" t="s">
        <v>747</v>
      </c>
      <c r="C8" s="6" t="s">
        <v>45</v>
      </c>
      <c r="D8" s="16">
        <v>1</v>
      </c>
      <c r="E8" s="6" t="s">
        <v>718</v>
      </c>
      <c r="F8" s="6" t="s">
        <v>719</v>
      </c>
      <c r="G8" s="6" t="str">
        <f>VLOOKUP(E:E,'[2]Hakata Island Team'!$E:$G,3,)</f>
        <v xml:space="preserve">Sujith Sundaran </v>
      </c>
      <c r="H8" s="6" t="str">
        <f>VLOOKUP(E:E,'[2]Hakata Island Team'!$E:$H,4,)</f>
        <v>SPPL Fleet - B</v>
      </c>
      <c r="I8" s="6" t="s">
        <v>742</v>
      </c>
      <c r="J8" s="6" t="s">
        <v>720</v>
      </c>
      <c r="K8" s="6" t="s">
        <v>748</v>
      </c>
      <c r="L8" s="6" t="s">
        <v>742</v>
      </c>
      <c r="M8" s="17">
        <v>2</v>
      </c>
      <c r="N8" s="6" t="s">
        <v>45</v>
      </c>
      <c r="O8" s="6" t="s">
        <v>744</v>
      </c>
      <c r="P8" s="6" t="s">
        <v>745</v>
      </c>
      <c r="Q8" s="6" t="s">
        <v>45</v>
      </c>
      <c r="R8" s="6" t="s">
        <v>45</v>
      </c>
      <c r="S8" s="10">
        <v>0</v>
      </c>
      <c r="T8" s="18">
        <v>0</v>
      </c>
      <c r="U8" s="6" t="s">
        <v>722</v>
      </c>
      <c r="V8" s="6" t="s">
        <v>719</v>
      </c>
      <c r="W8" s="19" t="b">
        <f>TRUE()</f>
        <v>1</v>
      </c>
    </row>
    <row r="9" spans="1:23" x14ac:dyDescent="0.35">
      <c r="A9" s="5" t="s">
        <v>749</v>
      </c>
      <c r="B9" s="6" t="s">
        <v>747</v>
      </c>
      <c r="C9" s="6" t="s">
        <v>45</v>
      </c>
      <c r="D9" s="16">
        <v>1</v>
      </c>
      <c r="E9" s="6" t="s">
        <v>750</v>
      </c>
      <c r="F9" s="6" t="s">
        <v>751</v>
      </c>
      <c r="G9" s="6" t="e">
        <f>VLOOKUP(E:E,'[2]Hakata Island Team'!$E:$G,3,)</f>
        <v>#N/A</v>
      </c>
      <c r="H9" s="6" t="e">
        <f>VLOOKUP(E:E,'[2]Hakata Island Team'!$E:$H,4,)</f>
        <v>#N/A</v>
      </c>
      <c r="I9" s="6" t="s">
        <v>45</v>
      </c>
      <c r="J9" s="6" t="s">
        <v>720</v>
      </c>
      <c r="K9" s="6" t="s">
        <v>752</v>
      </c>
      <c r="L9" s="6" t="s">
        <v>753</v>
      </c>
      <c r="M9" s="17">
        <v>2</v>
      </c>
      <c r="N9" s="6" t="s">
        <v>45</v>
      </c>
      <c r="O9" s="6" t="s">
        <v>754</v>
      </c>
      <c r="P9" s="6" t="s">
        <v>755</v>
      </c>
      <c r="Q9" s="6" t="s">
        <v>45</v>
      </c>
      <c r="R9" s="6" t="s">
        <v>45</v>
      </c>
      <c r="S9" s="10">
        <v>0</v>
      </c>
      <c r="T9" s="18">
        <v>0</v>
      </c>
      <c r="U9" s="6" t="s">
        <v>756</v>
      </c>
      <c r="V9" s="6" t="s">
        <v>751</v>
      </c>
      <c r="W9" s="19" t="b">
        <f>TRUE()</f>
        <v>1</v>
      </c>
    </row>
    <row r="10" spans="1:23" x14ac:dyDescent="0.35">
      <c r="A10" s="5" t="s">
        <v>757</v>
      </c>
      <c r="B10" s="6" t="s">
        <v>758</v>
      </c>
      <c r="C10" s="6" t="s">
        <v>45</v>
      </c>
      <c r="D10" s="16">
        <v>0</v>
      </c>
      <c r="E10" s="6" t="s">
        <v>158</v>
      </c>
      <c r="F10" s="6" t="s">
        <v>759</v>
      </c>
      <c r="G10" s="6" t="str">
        <f>VLOOKUP(E:E,'[2]Hakata Island Team'!$E:$G,3,)</f>
        <v>Manoj Padmanabhan</v>
      </c>
      <c r="H10" s="6" t="str">
        <f>VLOOKUP(E:E,'[2]Hakata Island Team'!$E:$H,4,)</f>
        <v xml:space="preserve">SPPL Fleet - A </v>
      </c>
      <c r="I10" s="6" t="s">
        <v>760</v>
      </c>
      <c r="J10" s="6" t="s">
        <v>720</v>
      </c>
      <c r="K10" s="6" t="s">
        <v>761</v>
      </c>
      <c r="L10" s="6" t="s">
        <v>762</v>
      </c>
      <c r="M10" s="17">
        <v>1</v>
      </c>
      <c r="N10" s="6" t="s">
        <v>763</v>
      </c>
      <c r="O10" s="6" t="s">
        <v>764</v>
      </c>
      <c r="P10" s="6" t="s">
        <v>765</v>
      </c>
      <c r="Q10" s="6" t="s">
        <v>45</v>
      </c>
      <c r="R10" s="6" t="s">
        <v>45</v>
      </c>
      <c r="S10" s="10">
        <v>0</v>
      </c>
      <c r="T10" s="18">
        <v>0</v>
      </c>
      <c r="U10" s="6" t="s">
        <v>766</v>
      </c>
      <c r="V10" s="6" t="s">
        <v>759</v>
      </c>
      <c r="W10" s="19" t="b">
        <f>TRUE()</f>
        <v>1</v>
      </c>
    </row>
    <row r="11" spans="1:23" x14ac:dyDescent="0.35">
      <c r="A11" s="5" t="s">
        <v>767</v>
      </c>
      <c r="B11" s="6" t="s">
        <v>768</v>
      </c>
      <c r="C11" s="6" t="s">
        <v>45</v>
      </c>
      <c r="D11" s="16">
        <v>0</v>
      </c>
      <c r="E11" s="6" t="s">
        <v>158</v>
      </c>
      <c r="F11" s="6" t="s">
        <v>759</v>
      </c>
      <c r="G11" s="6" t="str">
        <f>VLOOKUP(E:E,'[2]Hakata Island Team'!$E:$G,3,)</f>
        <v>Manoj Padmanabhan</v>
      </c>
      <c r="H11" s="6" t="str">
        <f>VLOOKUP(E:E,'[2]Hakata Island Team'!$E:$H,4,)</f>
        <v xml:space="preserve">SPPL Fleet - A </v>
      </c>
      <c r="I11" s="6" t="s">
        <v>760</v>
      </c>
      <c r="J11" s="6" t="s">
        <v>720</v>
      </c>
      <c r="K11" s="6" t="s">
        <v>769</v>
      </c>
      <c r="L11" s="6" t="s">
        <v>762</v>
      </c>
      <c r="M11" s="17">
        <v>1</v>
      </c>
      <c r="N11" s="6" t="s">
        <v>770</v>
      </c>
      <c r="O11" s="6" t="s">
        <v>764</v>
      </c>
      <c r="P11" s="6" t="s">
        <v>765</v>
      </c>
      <c r="Q11" s="6" t="s">
        <v>45</v>
      </c>
      <c r="R11" s="6" t="s">
        <v>45</v>
      </c>
      <c r="S11" s="10">
        <v>0</v>
      </c>
      <c r="T11" s="18">
        <v>0</v>
      </c>
      <c r="U11" s="6" t="s">
        <v>766</v>
      </c>
      <c r="V11" s="6" t="s">
        <v>759</v>
      </c>
      <c r="W11" s="19" t="b">
        <f>TRUE()</f>
        <v>1</v>
      </c>
    </row>
    <row r="12" spans="1:23" x14ac:dyDescent="0.35">
      <c r="A12" s="5" t="s">
        <v>771</v>
      </c>
      <c r="B12" s="6" t="s">
        <v>772</v>
      </c>
      <c r="C12" s="6" t="s">
        <v>45</v>
      </c>
      <c r="D12" s="16">
        <v>0</v>
      </c>
      <c r="E12" s="6" t="s">
        <v>158</v>
      </c>
      <c r="F12" s="6" t="s">
        <v>759</v>
      </c>
      <c r="G12" s="6" t="str">
        <f>VLOOKUP(E:E,'[2]Hakata Island Team'!$E:$G,3,)</f>
        <v>Manoj Padmanabhan</v>
      </c>
      <c r="H12" s="6" t="str">
        <f>VLOOKUP(E:E,'[2]Hakata Island Team'!$E:$H,4,)</f>
        <v xml:space="preserve">SPPL Fleet - A </v>
      </c>
      <c r="I12" s="6" t="s">
        <v>760</v>
      </c>
      <c r="J12" s="6" t="s">
        <v>720</v>
      </c>
      <c r="K12" s="6" t="s">
        <v>773</v>
      </c>
      <c r="L12" s="6" t="s">
        <v>762</v>
      </c>
      <c r="M12" s="17">
        <v>1</v>
      </c>
      <c r="N12" s="6" t="s">
        <v>774</v>
      </c>
      <c r="O12" s="6" t="s">
        <v>764</v>
      </c>
      <c r="P12" s="6" t="s">
        <v>765</v>
      </c>
      <c r="Q12" s="6" t="s">
        <v>45</v>
      </c>
      <c r="R12" s="6" t="s">
        <v>45</v>
      </c>
      <c r="S12" s="10">
        <v>0</v>
      </c>
      <c r="T12" s="18">
        <v>0</v>
      </c>
      <c r="U12" s="6" t="s">
        <v>766</v>
      </c>
      <c r="V12" s="6" t="s">
        <v>759</v>
      </c>
      <c r="W12" s="19" t="b">
        <f>TRUE()</f>
        <v>1</v>
      </c>
    </row>
    <row r="13" spans="1:23" x14ac:dyDescent="0.35">
      <c r="A13" s="5" t="s">
        <v>775</v>
      </c>
      <c r="B13" s="6" t="s">
        <v>776</v>
      </c>
      <c r="C13" s="6" t="s">
        <v>45</v>
      </c>
      <c r="D13" s="16">
        <v>0</v>
      </c>
      <c r="E13" s="6" t="s">
        <v>777</v>
      </c>
      <c r="F13" s="6" t="s">
        <v>778</v>
      </c>
      <c r="G13" s="6" t="str">
        <f>VLOOKUP(E:E,'[2]Hakata Island Team'!$E:$G,3,)</f>
        <v>Saravana Kumar Sundar</v>
      </c>
      <c r="H13" s="6" t="str">
        <f>VLOOKUP(E:E,'[2]Hakata Island Team'!$E:$H,4,)</f>
        <v xml:space="preserve">SPPL Fleet - A </v>
      </c>
      <c r="I13" s="6" t="s">
        <v>45</v>
      </c>
      <c r="J13" s="6" t="s">
        <v>720</v>
      </c>
      <c r="K13" s="6" t="s">
        <v>779</v>
      </c>
      <c r="L13" s="6" t="s">
        <v>780</v>
      </c>
      <c r="M13" s="17">
        <v>1</v>
      </c>
      <c r="N13" s="6" t="s">
        <v>110</v>
      </c>
      <c r="O13" s="6" t="s">
        <v>781</v>
      </c>
      <c r="P13" s="6" t="s">
        <v>782</v>
      </c>
      <c r="Q13" s="6" t="s">
        <v>45</v>
      </c>
      <c r="R13" s="6" t="s">
        <v>45</v>
      </c>
      <c r="S13" s="10">
        <v>0</v>
      </c>
      <c r="T13" s="18">
        <v>0</v>
      </c>
      <c r="U13" s="6" t="s">
        <v>783</v>
      </c>
      <c r="V13" s="6" t="s">
        <v>778</v>
      </c>
      <c r="W13" s="19" t="b">
        <f>TRUE()</f>
        <v>1</v>
      </c>
    </row>
    <row r="14" spans="1:23" x14ac:dyDescent="0.35">
      <c r="A14" s="5" t="s">
        <v>784</v>
      </c>
      <c r="B14" s="6" t="s">
        <v>785</v>
      </c>
      <c r="C14" s="6" t="s">
        <v>45</v>
      </c>
      <c r="D14" s="16">
        <v>0</v>
      </c>
      <c r="E14" s="6" t="s">
        <v>777</v>
      </c>
      <c r="F14" s="6" t="s">
        <v>778</v>
      </c>
      <c r="G14" s="6" t="str">
        <f>VLOOKUP(E:E,'[2]Hakata Island Team'!$E:$G,3,)</f>
        <v>Saravana Kumar Sundar</v>
      </c>
      <c r="H14" s="6" t="str">
        <f>VLOOKUP(E:E,'[2]Hakata Island Team'!$E:$H,4,)</f>
        <v xml:space="preserve">SPPL Fleet - A </v>
      </c>
      <c r="I14" s="6" t="s">
        <v>45</v>
      </c>
      <c r="J14" s="6" t="s">
        <v>720</v>
      </c>
      <c r="K14" s="6" t="s">
        <v>786</v>
      </c>
      <c r="L14" s="6" t="s">
        <v>780</v>
      </c>
      <c r="M14" s="17">
        <v>1</v>
      </c>
      <c r="N14" s="6" t="s">
        <v>87</v>
      </c>
      <c r="O14" s="6" t="s">
        <v>781</v>
      </c>
      <c r="P14" s="6" t="s">
        <v>782</v>
      </c>
      <c r="Q14" s="6" t="s">
        <v>45</v>
      </c>
      <c r="R14" s="6" t="s">
        <v>45</v>
      </c>
      <c r="S14" s="10">
        <v>0</v>
      </c>
      <c r="T14" s="18">
        <v>0</v>
      </c>
      <c r="U14" s="6" t="s">
        <v>783</v>
      </c>
      <c r="V14" s="6" t="s">
        <v>778</v>
      </c>
      <c r="W14" s="19" t="b">
        <f>TRUE()</f>
        <v>1</v>
      </c>
    </row>
    <row r="15" spans="1:23" x14ac:dyDescent="0.35">
      <c r="A15" s="5" t="s">
        <v>787</v>
      </c>
      <c r="B15" s="6" t="s">
        <v>788</v>
      </c>
      <c r="C15" s="6" t="s">
        <v>45</v>
      </c>
      <c r="D15" s="16">
        <v>0</v>
      </c>
      <c r="E15" s="6" t="s">
        <v>777</v>
      </c>
      <c r="F15" s="6" t="s">
        <v>778</v>
      </c>
      <c r="G15" s="6" t="str">
        <f>VLOOKUP(E:E,'[2]Hakata Island Team'!$E:$G,3,)</f>
        <v>Saravana Kumar Sundar</v>
      </c>
      <c r="H15" s="6" t="str">
        <f>VLOOKUP(E:E,'[2]Hakata Island Team'!$E:$H,4,)</f>
        <v xml:space="preserve">SPPL Fleet - A </v>
      </c>
      <c r="I15" s="6" t="s">
        <v>789</v>
      </c>
      <c r="J15" s="6" t="s">
        <v>720</v>
      </c>
      <c r="K15" s="6" t="s">
        <v>790</v>
      </c>
      <c r="L15" s="6" t="s">
        <v>791</v>
      </c>
      <c r="M15" s="17">
        <v>1</v>
      </c>
      <c r="N15" s="6" t="s">
        <v>45</v>
      </c>
      <c r="O15" s="6" t="s">
        <v>792</v>
      </c>
      <c r="P15" s="6" t="s">
        <v>793</v>
      </c>
      <c r="Q15" s="6" t="s">
        <v>45</v>
      </c>
      <c r="R15" s="6" t="s">
        <v>45</v>
      </c>
      <c r="S15" s="10">
        <v>0</v>
      </c>
      <c r="T15" s="18">
        <v>0</v>
      </c>
      <c r="U15" s="6" t="s">
        <v>783</v>
      </c>
      <c r="V15" s="6" t="s">
        <v>778</v>
      </c>
      <c r="W15" s="19" t="b">
        <f>TRUE()</f>
        <v>1</v>
      </c>
    </row>
    <row r="16" spans="1:23" x14ac:dyDescent="0.35">
      <c r="A16" s="5" t="s">
        <v>794</v>
      </c>
      <c r="B16" s="6" t="s">
        <v>795</v>
      </c>
      <c r="C16" s="6" t="s">
        <v>45</v>
      </c>
      <c r="D16" s="16">
        <v>0</v>
      </c>
      <c r="E16" s="6" t="s">
        <v>796</v>
      </c>
      <c r="F16" s="6" t="s">
        <v>797</v>
      </c>
      <c r="G16" s="6" t="str">
        <f>VLOOKUP(E:E,'[2]Hakata Island Team'!$E:$G,3,)</f>
        <v>Senthilvelan</v>
      </c>
      <c r="H16" s="6" t="str">
        <f>VLOOKUP(E:E,'[2]Hakata Island Team'!$E:$H,4,)</f>
        <v xml:space="preserve">SPPL Fleet - A </v>
      </c>
      <c r="I16" s="6" t="s">
        <v>45</v>
      </c>
      <c r="J16" s="6" t="s">
        <v>720</v>
      </c>
      <c r="K16" s="6" t="s">
        <v>45</v>
      </c>
      <c r="L16" s="6" t="s">
        <v>45</v>
      </c>
      <c r="M16" s="17">
        <v>1</v>
      </c>
      <c r="N16" s="6" t="s">
        <v>45</v>
      </c>
      <c r="O16" s="6" t="s">
        <v>798</v>
      </c>
      <c r="P16" s="6" t="s">
        <v>799</v>
      </c>
      <c r="Q16" s="6" t="s">
        <v>45</v>
      </c>
      <c r="R16" s="6" t="s">
        <v>45</v>
      </c>
      <c r="S16" s="10">
        <v>0</v>
      </c>
      <c r="T16" s="18">
        <v>0</v>
      </c>
      <c r="U16" s="6" t="s">
        <v>800</v>
      </c>
      <c r="V16" s="6" t="s">
        <v>797</v>
      </c>
      <c r="W16" s="19" t="b">
        <f>TRUE()</f>
        <v>1</v>
      </c>
    </row>
    <row r="17" spans="1:23" x14ac:dyDescent="0.35">
      <c r="A17" s="5" t="s">
        <v>801</v>
      </c>
      <c r="B17" s="6" t="s">
        <v>802</v>
      </c>
      <c r="C17" s="6" t="s">
        <v>45</v>
      </c>
      <c r="D17" s="16">
        <v>0</v>
      </c>
      <c r="E17" s="6" t="s">
        <v>38</v>
      </c>
      <c r="F17" s="6" t="s">
        <v>803</v>
      </c>
      <c r="G17" s="6" t="str">
        <f>VLOOKUP(E:E,'[2]Hakata Island Team'!$E:$G,3,)</f>
        <v>Karthik Nair</v>
      </c>
      <c r="H17" s="6" t="str">
        <f>VLOOKUP(E:E,'[2]Hakata Island Team'!$E:$H,4,)</f>
        <v>SPPL Fleet - B</v>
      </c>
      <c r="I17" s="6" t="s">
        <v>45</v>
      </c>
      <c r="J17" s="6" t="s">
        <v>720</v>
      </c>
      <c r="K17" s="6" t="s">
        <v>45</v>
      </c>
      <c r="L17" s="6" t="s">
        <v>45</v>
      </c>
      <c r="M17" s="17">
        <v>1</v>
      </c>
      <c r="N17" s="6" t="s">
        <v>45</v>
      </c>
      <c r="O17" s="6" t="s">
        <v>45</v>
      </c>
      <c r="P17" s="6" t="s">
        <v>721</v>
      </c>
      <c r="Q17" s="6" t="s">
        <v>45</v>
      </c>
      <c r="R17" s="6" t="s">
        <v>45</v>
      </c>
      <c r="S17" s="10">
        <v>2</v>
      </c>
      <c r="T17" s="18">
        <v>0</v>
      </c>
      <c r="U17" s="6" t="s">
        <v>804</v>
      </c>
      <c r="V17" s="6" t="s">
        <v>803</v>
      </c>
      <c r="W17" s="19" t="b">
        <f>TRUE()</f>
        <v>1</v>
      </c>
    </row>
    <row r="18" spans="1:23" x14ac:dyDescent="0.35">
      <c r="A18" s="5" t="s">
        <v>805</v>
      </c>
      <c r="B18" s="6" t="s">
        <v>806</v>
      </c>
      <c r="C18" s="6" t="s">
        <v>45</v>
      </c>
      <c r="D18" s="16">
        <v>0</v>
      </c>
      <c r="E18" s="6" t="s">
        <v>38</v>
      </c>
      <c r="F18" s="6" t="s">
        <v>803</v>
      </c>
      <c r="G18" s="6" t="str">
        <f>VLOOKUP(E:E,'[2]Hakata Island Team'!$E:$G,3,)</f>
        <v>Karthik Nair</v>
      </c>
      <c r="H18" s="6" t="str">
        <f>VLOOKUP(E:E,'[2]Hakata Island Team'!$E:$H,4,)</f>
        <v>SPPL Fleet - B</v>
      </c>
      <c r="I18" s="6" t="s">
        <v>45</v>
      </c>
      <c r="J18" s="6" t="s">
        <v>720</v>
      </c>
      <c r="K18" s="6" t="s">
        <v>45</v>
      </c>
      <c r="L18" s="6" t="s">
        <v>45</v>
      </c>
      <c r="M18" s="17">
        <v>1</v>
      </c>
      <c r="N18" s="6" t="s">
        <v>807</v>
      </c>
      <c r="O18" s="6" t="s">
        <v>808</v>
      </c>
      <c r="P18" s="6" t="s">
        <v>809</v>
      </c>
      <c r="Q18" s="6" t="s">
        <v>45</v>
      </c>
      <c r="R18" s="6" t="s">
        <v>45</v>
      </c>
      <c r="S18" s="10">
        <v>0</v>
      </c>
      <c r="T18" s="18">
        <v>0</v>
      </c>
      <c r="U18" s="6" t="s">
        <v>804</v>
      </c>
      <c r="V18" s="6" t="s">
        <v>803</v>
      </c>
      <c r="W18" s="19" t="b">
        <f>TRUE()</f>
        <v>1</v>
      </c>
    </row>
    <row r="19" spans="1:23" x14ac:dyDescent="0.35">
      <c r="A19" s="5" t="s">
        <v>810</v>
      </c>
      <c r="B19" s="6" t="s">
        <v>811</v>
      </c>
      <c r="C19" s="6" t="s">
        <v>45</v>
      </c>
      <c r="D19" s="16">
        <v>0</v>
      </c>
      <c r="E19" s="6" t="s">
        <v>38</v>
      </c>
      <c r="F19" s="6" t="s">
        <v>803</v>
      </c>
      <c r="G19" s="6" t="str">
        <f>VLOOKUP(E:E,'[2]Hakata Island Team'!$E:$G,3,)</f>
        <v>Karthik Nair</v>
      </c>
      <c r="H19" s="6" t="str">
        <f>VLOOKUP(E:E,'[2]Hakata Island Team'!$E:$H,4,)</f>
        <v>SPPL Fleet - B</v>
      </c>
      <c r="I19" s="6" t="s">
        <v>812</v>
      </c>
      <c r="J19" s="6" t="s">
        <v>720</v>
      </c>
      <c r="K19" s="6" t="s">
        <v>45</v>
      </c>
      <c r="L19" s="6" t="s">
        <v>813</v>
      </c>
      <c r="M19" s="17">
        <v>1</v>
      </c>
      <c r="N19" s="6" t="s">
        <v>45</v>
      </c>
      <c r="O19" s="6" t="s">
        <v>814</v>
      </c>
      <c r="P19" s="6" t="s">
        <v>815</v>
      </c>
      <c r="Q19" s="6" t="s">
        <v>45</v>
      </c>
      <c r="R19" s="6" t="s">
        <v>45</v>
      </c>
      <c r="S19" s="10">
        <v>0</v>
      </c>
      <c r="T19" s="18">
        <v>0</v>
      </c>
      <c r="U19" s="6" t="s">
        <v>804</v>
      </c>
      <c r="V19" s="6" t="s">
        <v>803</v>
      </c>
      <c r="W19" s="19" t="b">
        <f>TRUE()</f>
        <v>1</v>
      </c>
    </row>
    <row r="20" spans="1:23" x14ac:dyDescent="0.35">
      <c r="A20" s="5" t="s">
        <v>816</v>
      </c>
      <c r="B20" s="6" t="s">
        <v>785</v>
      </c>
      <c r="C20" s="6" t="s">
        <v>45</v>
      </c>
      <c r="D20" s="16">
        <v>0</v>
      </c>
      <c r="E20" s="6" t="s">
        <v>265</v>
      </c>
      <c r="F20" s="6" t="s">
        <v>817</v>
      </c>
      <c r="G20" s="6" t="str">
        <f>VLOOKUP(E:E,'[2]Hakata Island Team'!$E:$G,3,)</f>
        <v>Rupak Chundayil Kalam</v>
      </c>
      <c r="H20" s="6" t="str">
        <f>VLOOKUP(E:E,'[2]Hakata Island Team'!$E:$H,4,)</f>
        <v>SPPL Fleet - B</v>
      </c>
      <c r="I20" s="6" t="s">
        <v>45</v>
      </c>
      <c r="J20" s="6" t="s">
        <v>720</v>
      </c>
      <c r="K20" s="6" t="s">
        <v>818</v>
      </c>
      <c r="L20" s="6" t="s">
        <v>45</v>
      </c>
      <c r="M20" s="17">
        <v>1</v>
      </c>
      <c r="N20" s="6" t="s">
        <v>819</v>
      </c>
      <c r="O20" s="6" t="s">
        <v>820</v>
      </c>
      <c r="P20" s="6" t="s">
        <v>821</v>
      </c>
      <c r="Q20" s="6" t="s">
        <v>822</v>
      </c>
      <c r="R20" s="6" t="s">
        <v>823</v>
      </c>
      <c r="S20" s="10">
        <v>0</v>
      </c>
      <c r="T20" s="18">
        <v>0</v>
      </c>
      <c r="U20" s="6" t="s">
        <v>824</v>
      </c>
      <c r="V20" s="6" t="s">
        <v>817</v>
      </c>
      <c r="W20" s="19" t="b">
        <f>TRUE()</f>
        <v>1</v>
      </c>
    </row>
    <row r="21" spans="1:23" x14ac:dyDescent="0.35">
      <c r="A21" s="5" t="s">
        <v>816</v>
      </c>
      <c r="B21" s="6" t="s">
        <v>825</v>
      </c>
      <c r="C21" s="6" t="s">
        <v>45</v>
      </c>
      <c r="D21" s="16">
        <v>0</v>
      </c>
      <c r="E21" s="6" t="s">
        <v>113</v>
      </c>
      <c r="F21" s="6" t="s">
        <v>826</v>
      </c>
      <c r="G21" s="6" t="str">
        <f>VLOOKUP(E:E,'[2]Hakata Island Team'!$E:$G,3,)</f>
        <v>Rupak Chundayil Kalam</v>
      </c>
      <c r="H21" s="6" t="str">
        <f>VLOOKUP(E:E,'[2]Hakata Island Team'!$E:$H,4,)</f>
        <v>SPPL Fleet - B</v>
      </c>
      <c r="I21" s="6" t="s">
        <v>827</v>
      </c>
      <c r="J21" s="6" t="s">
        <v>720</v>
      </c>
      <c r="K21" s="6" t="s">
        <v>45</v>
      </c>
      <c r="L21" s="6" t="s">
        <v>45</v>
      </c>
      <c r="M21" s="17">
        <v>1</v>
      </c>
      <c r="N21" s="6" t="s">
        <v>45</v>
      </c>
      <c r="O21" s="6" t="s">
        <v>828</v>
      </c>
      <c r="P21" s="6" t="s">
        <v>829</v>
      </c>
      <c r="Q21" s="6" t="s">
        <v>45</v>
      </c>
      <c r="R21" s="6" t="s">
        <v>45</v>
      </c>
      <c r="S21" s="10">
        <v>0</v>
      </c>
      <c r="T21" s="18">
        <v>0</v>
      </c>
      <c r="U21" s="6" t="s">
        <v>830</v>
      </c>
      <c r="V21" s="6" t="s">
        <v>826</v>
      </c>
      <c r="W21" s="19" t="b">
        <f>TRUE()</f>
        <v>1</v>
      </c>
    </row>
    <row r="22" spans="1:23" x14ac:dyDescent="0.35">
      <c r="A22" s="5" t="s">
        <v>831</v>
      </c>
      <c r="B22" s="6" t="s">
        <v>832</v>
      </c>
      <c r="C22" s="6" t="s">
        <v>45</v>
      </c>
      <c r="D22" s="16">
        <v>0</v>
      </c>
      <c r="E22" s="6" t="s">
        <v>113</v>
      </c>
      <c r="F22" s="6" t="s">
        <v>826</v>
      </c>
      <c r="G22" s="6" t="str">
        <f>VLOOKUP(E:E,'[2]Hakata Island Team'!$E:$G,3,)</f>
        <v>Rupak Chundayil Kalam</v>
      </c>
      <c r="H22" s="6" t="str">
        <f>VLOOKUP(E:E,'[2]Hakata Island Team'!$E:$H,4,)</f>
        <v>SPPL Fleet - B</v>
      </c>
      <c r="I22" s="6" t="s">
        <v>833</v>
      </c>
      <c r="J22" s="6" t="s">
        <v>720</v>
      </c>
      <c r="K22" s="6" t="s">
        <v>834</v>
      </c>
      <c r="L22" s="6" t="s">
        <v>45</v>
      </c>
      <c r="M22" s="17">
        <v>1</v>
      </c>
      <c r="N22" s="6" t="s">
        <v>45</v>
      </c>
      <c r="O22" s="6" t="s">
        <v>835</v>
      </c>
      <c r="P22" s="6" t="s">
        <v>836</v>
      </c>
      <c r="Q22" s="6" t="s">
        <v>45</v>
      </c>
      <c r="R22" s="6" t="s">
        <v>45</v>
      </c>
      <c r="S22" s="10">
        <v>1</v>
      </c>
      <c r="T22" s="18">
        <v>0</v>
      </c>
      <c r="U22" s="6" t="s">
        <v>830</v>
      </c>
      <c r="V22" s="6" t="s">
        <v>826</v>
      </c>
      <c r="W22" s="19" t="b">
        <f>TRUE()</f>
        <v>1</v>
      </c>
    </row>
    <row r="23" spans="1:23" x14ac:dyDescent="0.35">
      <c r="A23" s="5" t="s">
        <v>837</v>
      </c>
      <c r="B23" s="6" t="s">
        <v>838</v>
      </c>
      <c r="C23" s="6" t="s">
        <v>45</v>
      </c>
      <c r="D23" s="16">
        <v>0</v>
      </c>
      <c r="E23" s="6" t="s">
        <v>280</v>
      </c>
      <c r="F23" s="6" t="s">
        <v>839</v>
      </c>
      <c r="G23" s="6" t="str">
        <f>VLOOKUP(E:E,'[2]Hakata Island Team'!$E:$G,3,)</f>
        <v xml:space="preserve">Sujith Sundaran </v>
      </c>
      <c r="H23" s="6" t="str">
        <f>VLOOKUP(E:E,'[2]Hakata Island Team'!$E:$H,4,)</f>
        <v>SPPL Fleet - B</v>
      </c>
      <c r="I23" s="6" t="s">
        <v>840</v>
      </c>
      <c r="J23" s="6" t="s">
        <v>720</v>
      </c>
      <c r="K23" s="6" t="s">
        <v>841</v>
      </c>
      <c r="L23" s="6" t="s">
        <v>842</v>
      </c>
      <c r="M23" s="17">
        <v>1</v>
      </c>
      <c r="N23" s="6" t="s">
        <v>45</v>
      </c>
      <c r="O23" s="6" t="s">
        <v>843</v>
      </c>
      <c r="P23" s="6" t="s">
        <v>844</v>
      </c>
      <c r="Q23" s="6" t="s">
        <v>845</v>
      </c>
      <c r="R23" s="6" t="s">
        <v>846</v>
      </c>
      <c r="S23" s="10">
        <v>0</v>
      </c>
      <c r="T23" s="18">
        <v>0</v>
      </c>
      <c r="U23" s="6" t="s">
        <v>847</v>
      </c>
      <c r="V23" s="6" t="s">
        <v>839</v>
      </c>
      <c r="W23" s="19" t="b">
        <f>TRUE()</f>
        <v>1</v>
      </c>
    </row>
    <row r="24" spans="1:23" x14ac:dyDescent="0.35">
      <c r="A24" s="5" t="s">
        <v>848</v>
      </c>
      <c r="B24" s="6" t="s">
        <v>849</v>
      </c>
      <c r="C24" s="6" t="s">
        <v>45</v>
      </c>
      <c r="D24" s="16">
        <v>0</v>
      </c>
      <c r="E24" s="6" t="s">
        <v>280</v>
      </c>
      <c r="F24" s="6" t="s">
        <v>839</v>
      </c>
      <c r="G24" s="6" t="str">
        <f>VLOOKUP(E:E,'[2]Hakata Island Team'!$E:$G,3,)</f>
        <v xml:space="preserve">Sujith Sundaran </v>
      </c>
      <c r="H24" s="6" t="str">
        <f>VLOOKUP(E:E,'[2]Hakata Island Team'!$E:$H,4,)</f>
        <v>SPPL Fleet - B</v>
      </c>
      <c r="I24" s="6" t="s">
        <v>840</v>
      </c>
      <c r="J24" s="6" t="s">
        <v>720</v>
      </c>
      <c r="K24" s="6" t="s">
        <v>850</v>
      </c>
      <c r="L24" s="6" t="s">
        <v>842</v>
      </c>
      <c r="M24" s="17">
        <v>1</v>
      </c>
      <c r="N24" s="6" t="s">
        <v>45</v>
      </c>
      <c r="O24" s="6" t="s">
        <v>843</v>
      </c>
      <c r="P24" s="6" t="s">
        <v>844</v>
      </c>
      <c r="Q24" s="6" t="s">
        <v>845</v>
      </c>
      <c r="R24" s="6" t="s">
        <v>846</v>
      </c>
      <c r="S24" s="10">
        <v>0</v>
      </c>
      <c r="T24" s="18">
        <v>0</v>
      </c>
      <c r="U24" s="6" t="s">
        <v>847</v>
      </c>
      <c r="V24" s="6" t="s">
        <v>839</v>
      </c>
      <c r="W24" s="19" t="b">
        <f>TRUE()</f>
        <v>1</v>
      </c>
    </row>
    <row r="25" spans="1:23" x14ac:dyDescent="0.35">
      <c r="A25" s="5" t="s">
        <v>851</v>
      </c>
      <c r="B25" s="6" t="s">
        <v>852</v>
      </c>
      <c r="C25" s="6" t="s">
        <v>45</v>
      </c>
      <c r="D25" s="16">
        <v>0</v>
      </c>
      <c r="E25" s="6" t="s">
        <v>853</v>
      </c>
      <c r="F25" s="6" t="s">
        <v>854</v>
      </c>
      <c r="G25" s="6" t="str">
        <f>VLOOKUP(E:E,'[2]Hakata Island Team'!$E:$G,3,)</f>
        <v xml:space="preserve">Sujith Sundaran </v>
      </c>
      <c r="H25" s="6" t="str">
        <f>VLOOKUP(E:E,'[2]Hakata Island Team'!$E:$H,4,)</f>
        <v>SPPL Fleet - B</v>
      </c>
      <c r="I25" s="6" t="s">
        <v>45</v>
      </c>
      <c r="J25" s="6" t="s">
        <v>720</v>
      </c>
      <c r="K25" s="6" t="s">
        <v>45</v>
      </c>
      <c r="L25" s="6" t="s">
        <v>855</v>
      </c>
      <c r="M25" s="17">
        <v>1</v>
      </c>
      <c r="N25" s="6" t="s">
        <v>856</v>
      </c>
      <c r="O25" s="6" t="s">
        <v>828</v>
      </c>
      <c r="P25" s="6" t="s">
        <v>829</v>
      </c>
      <c r="Q25" s="6" t="s">
        <v>857</v>
      </c>
      <c r="R25" s="6" t="s">
        <v>858</v>
      </c>
      <c r="S25" s="10">
        <v>1</v>
      </c>
      <c r="T25" s="18">
        <v>0</v>
      </c>
      <c r="U25" s="6" t="s">
        <v>859</v>
      </c>
      <c r="V25" s="6" t="s">
        <v>854</v>
      </c>
      <c r="W25" s="19" t="b">
        <f>TRUE()</f>
        <v>1</v>
      </c>
    </row>
    <row r="26" spans="1:23" x14ac:dyDescent="0.35">
      <c r="A26" s="5" t="s">
        <v>816</v>
      </c>
      <c r="B26" s="6" t="s">
        <v>860</v>
      </c>
      <c r="C26" s="6" t="s">
        <v>45</v>
      </c>
      <c r="D26" s="16">
        <v>0</v>
      </c>
      <c r="E26" s="6" t="s">
        <v>98</v>
      </c>
      <c r="F26" s="6" t="s">
        <v>861</v>
      </c>
      <c r="G26" s="6" t="str">
        <f>VLOOKUP(E:E,'[2]Hakata Island Team'!$E:$G,3,)</f>
        <v xml:space="preserve">Sujith Sundaran </v>
      </c>
      <c r="H26" s="6" t="str">
        <f>VLOOKUP(E:E,'[2]Hakata Island Team'!$E:$H,4,)</f>
        <v>SPPL Fleet - B</v>
      </c>
      <c r="I26" s="6" t="s">
        <v>862</v>
      </c>
      <c r="J26" s="6" t="s">
        <v>720</v>
      </c>
      <c r="K26" s="6" t="s">
        <v>45</v>
      </c>
      <c r="L26" s="6" t="s">
        <v>45</v>
      </c>
      <c r="M26" s="17">
        <v>1</v>
      </c>
      <c r="N26" s="6" t="s">
        <v>45</v>
      </c>
      <c r="O26" s="6" t="s">
        <v>863</v>
      </c>
      <c r="P26" s="6" t="s">
        <v>864</v>
      </c>
      <c r="Q26" s="6" t="s">
        <v>45</v>
      </c>
      <c r="R26" s="6" t="s">
        <v>45</v>
      </c>
      <c r="S26" s="10">
        <v>0</v>
      </c>
      <c r="T26" s="18">
        <v>0</v>
      </c>
      <c r="U26" s="6" t="s">
        <v>865</v>
      </c>
      <c r="V26" s="6" t="s">
        <v>861</v>
      </c>
      <c r="W26" s="19" t="b">
        <f>TRUE()</f>
        <v>1</v>
      </c>
    </row>
    <row r="27" spans="1:23" x14ac:dyDescent="0.35">
      <c r="A27" s="5" t="s">
        <v>866</v>
      </c>
      <c r="B27" s="6" t="s">
        <v>867</v>
      </c>
      <c r="C27" s="6" t="s">
        <v>45</v>
      </c>
      <c r="D27" s="16">
        <v>0</v>
      </c>
      <c r="E27" s="6" t="s">
        <v>718</v>
      </c>
      <c r="F27" s="6" t="s">
        <v>719</v>
      </c>
      <c r="G27" s="6" t="str">
        <f>VLOOKUP(E:E,'[2]Hakata Island Team'!$E:$G,3,)</f>
        <v xml:space="preserve">Sujith Sundaran </v>
      </c>
      <c r="H27" s="6" t="str">
        <f>VLOOKUP(E:E,'[2]Hakata Island Team'!$E:$H,4,)</f>
        <v>SPPL Fleet - B</v>
      </c>
      <c r="I27" s="6" t="s">
        <v>868</v>
      </c>
      <c r="J27" s="6" t="s">
        <v>720</v>
      </c>
      <c r="K27" s="6" t="s">
        <v>869</v>
      </c>
      <c r="L27" s="6" t="s">
        <v>870</v>
      </c>
      <c r="M27" s="17">
        <v>1</v>
      </c>
      <c r="N27" s="6" t="s">
        <v>871</v>
      </c>
      <c r="O27" s="6" t="s">
        <v>872</v>
      </c>
      <c r="P27" s="6" t="s">
        <v>873</v>
      </c>
      <c r="Q27" s="6" t="s">
        <v>45</v>
      </c>
      <c r="R27" s="6" t="s">
        <v>45</v>
      </c>
      <c r="S27" s="10">
        <v>1</v>
      </c>
      <c r="T27" s="18">
        <v>0</v>
      </c>
      <c r="U27" s="6" t="s">
        <v>722</v>
      </c>
      <c r="V27" s="6" t="s">
        <v>719</v>
      </c>
      <c r="W27" s="19" t="b">
        <f>TRUE()</f>
        <v>1</v>
      </c>
    </row>
    <row r="28" spans="1:23" x14ac:dyDescent="0.35">
      <c r="A28" s="5" t="s">
        <v>874</v>
      </c>
      <c r="B28" s="6" t="s">
        <v>867</v>
      </c>
      <c r="C28" s="6" t="s">
        <v>45</v>
      </c>
      <c r="D28" s="16">
        <v>0</v>
      </c>
      <c r="E28" s="6" t="s">
        <v>718</v>
      </c>
      <c r="F28" s="6" t="s">
        <v>719</v>
      </c>
      <c r="G28" s="6" t="str">
        <f>VLOOKUP(E:E,'[2]Hakata Island Team'!$E:$G,3,)</f>
        <v xml:space="preserve">Sujith Sundaran </v>
      </c>
      <c r="H28" s="6" t="str">
        <f>VLOOKUP(E:E,'[2]Hakata Island Team'!$E:$H,4,)</f>
        <v>SPPL Fleet - B</v>
      </c>
      <c r="I28" s="6" t="s">
        <v>875</v>
      </c>
      <c r="J28" s="6" t="s">
        <v>720</v>
      </c>
      <c r="K28" s="6" t="s">
        <v>876</v>
      </c>
      <c r="L28" s="6" t="s">
        <v>877</v>
      </c>
      <c r="M28" s="17">
        <v>1</v>
      </c>
      <c r="N28" s="6" t="s">
        <v>871</v>
      </c>
      <c r="O28" s="6" t="s">
        <v>872</v>
      </c>
      <c r="P28" s="6" t="s">
        <v>873</v>
      </c>
      <c r="Q28" s="6" t="s">
        <v>45</v>
      </c>
      <c r="R28" s="6" t="s">
        <v>45</v>
      </c>
      <c r="S28" s="10">
        <v>1</v>
      </c>
      <c r="T28" s="18">
        <v>0</v>
      </c>
      <c r="U28" s="6" t="s">
        <v>722</v>
      </c>
      <c r="V28" s="6" t="s">
        <v>719</v>
      </c>
      <c r="W28" s="19" t="b">
        <f>TRUE()</f>
        <v>1</v>
      </c>
    </row>
    <row r="29" spans="1:23" x14ac:dyDescent="0.35">
      <c r="A29" s="5" t="s">
        <v>878</v>
      </c>
      <c r="B29" s="6" t="s">
        <v>849</v>
      </c>
      <c r="C29" s="6" t="s">
        <v>45</v>
      </c>
      <c r="D29" s="16">
        <v>0</v>
      </c>
      <c r="E29" s="6" t="s">
        <v>718</v>
      </c>
      <c r="F29" s="6" t="s">
        <v>719</v>
      </c>
      <c r="G29" s="6" t="str">
        <f>VLOOKUP(E:E,'[2]Hakata Island Team'!$E:$G,3,)</f>
        <v xml:space="preserve">Sujith Sundaran </v>
      </c>
      <c r="H29" s="6" t="str">
        <f>VLOOKUP(E:E,'[2]Hakata Island Team'!$E:$H,4,)</f>
        <v>SPPL Fleet - B</v>
      </c>
      <c r="I29" s="6" t="s">
        <v>846</v>
      </c>
      <c r="J29" s="6" t="s">
        <v>720</v>
      </c>
      <c r="K29" s="6" t="s">
        <v>850</v>
      </c>
      <c r="L29" s="6" t="s">
        <v>879</v>
      </c>
      <c r="M29" s="17">
        <v>1</v>
      </c>
      <c r="N29" s="6" t="s">
        <v>880</v>
      </c>
      <c r="O29" s="6" t="s">
        <v>843</v>
      </c>
      <c r="P29" s="6" t="s">
        <v>844</v>
      </c>
      <c r="Q29" s="6" t="s">
        <v>45</v>
      </c>
      <c r="R29" s="6" t="s">
        <v>45</v>
      </c>
      <c r="S29" s="10">
        <v>0</v>
      </c>
      <c r="T29" s="18">
        <v>0</v>
      </c>
      <c r="U29" s="6" t="s">
        <v>722</v>
      </c>
      <c r="V29" s="6" t="s">
        <v>719</v>
      </c>
      <c r="W29" s="19" t="b">
        <f>TRUE()</f>
        <v>1</v>
      </c>
    </row>
    <row r="30" spans="1:23" x14ac:dyDescent="0.35">
      <c r="A30" s="5" t="s">
        <v>881</v>
      </c>
      <c r="B30" s="6" t="s">
        <v>838</v>
      </c>
      <c r="C30" s="6" t="s">
        <v>45</v>
      </c>
      <c r="D30" s="16">
        <v>0</v>
      </c>
      <c r="E30" s="6" t="s">
        <v>718</v>
      </c>
      <c r="F30" s="6" t="s">
        <v>719</v>
      </c>
      <c r="G30" s="6" t="str">
        <f>VLOOKUP(E:E,'[2]Hakata Island Team'!$E:$G,3,)</f>
        <v xml:space="preserve">Sujith Sundaran </v>
      </c>
      <c r="H30" s="6" t="str">
        <f>VLOOKUP(E:E,'[2]Hakata Island Team'!$E:$H,4,)</f>
        <v>SPPL Fleet - B</v>
      </c>
      <c r="I30" s="6" t="s">
        <v>846</v>
      </c>
      <c r="J30" s="6" t="s">
        <v>720</v>
      </c>
      <c r="K30" s="6" t="s">
        <v>882</v>
      </c>
      <c r="L30" s="6" t="s">
        <v>879</v>
      </c>
      <c r="M30" s="17">
        <v>1</v>
      </c>
      <c r="N30" s="6" t="s">
        <v>807</v>
      </c>
      <c r="O30" s="6" t="s">
        <v>843</v>
      </c>
      <c r="P30" s="6" t="s">
        <v>844</v>
      </c>
      <c r="Q30" s="6" t="s">
        <v>883</v>
      </c>
      <c r="R30" s="6" t="s">
        <v>884</v>
      </c>
      <c r="S30" s="10">
        <v>0</v>
      </c>
      <c r="T30" s="18">
        <v>0</v>
      </c>
      <c r="U30" s="6" t="s">
        <v>722</v>
      </c>
      <c r="V30" s="6" t="s">
        <v>719</v>
      </c>
      <c r="W30" s="19" t="b">
        <f>TRUE()</f>
        <v>1</v>
      </c>
    </row>
    <row r="31" spans="1:23" x14ac:dyDescent="0.35">
      <c r="A31" s="5" t="s">
        <v>885</v>
      </c>
      <c r="B31" s="6" t="s">
        <v>825</v>
      </c>
      <c r="C31" s="6" t="s">
        <v>45</v>
      </c>
      <c r="D31" s="16">
        <v>0</v>
      </c>
      <c r="E31" s="6" t="s">
        <v>718</v>
      </c>
      <c r="F31" s="6" t="s">
        <v>719</v>
      </c>
      <c r="G31" s="6" t="str">
        <f>VLOOKUP(E:E,'[2]Hakata Island Team'!$E:$G,3,)</f>
        <v xml:space="preserve">Sujith Sundaran </v>
      </c>
      <c r="H31" s="6" t="str">
        <f>VLOOKUP(E:E,'[2]Hakata Island Team'!$E:$H,4,)</f>
        <v>SPPL Fleet - B</v>
      </c>
      <c r="I31" s="6" t="s">
        <v>827</v>
      </c>
      <c r="J31" s="6" t="s">
        <v>720</v>
      </c>
      <c r="K31" s="6" t="s">
        <v>45</v>
      </c>
      <c r="L31" s="6" t="s">
        <v>45</v>
      </c>
      <c r="M31" s="17">
        <v>1</v>
      </c>
      <c r="N31" s="6" t="s">
        <v>45</v>
      </c>
      <c r="O31" s="6" t="s">
        <v>828</v>
      </c>
      <c r="P31" s="6" t="s">
        <v>829</v>
      </c>
      <c r="Q31" s="6" t="s">
        <v>45</v>
      </c>
      <c r="R31" s="6" t="s">
        <v>45</v>
      </c>
      <c r="S31" s="10">
        <v>1</v>
      </c>
      <c r="T31" s="18">
        <v>0</v>
      </c>
      <c r="U31" s="6" t="s">
        <v>722</v>
      </c>
      <c r="V31" s="6" t="s">
        <v>719</v>
      </c>
      <c r="W31" s="19" t="b">
        <f>TRUE()</f>
        <v>1</v>
      </c>
    </row>
    <row r="32" spans="1:23" x14ac:dyDescent="0.35">
      <c r="A32" s="5" t="s">
        <v>886</v>
      </c>
      <c r="B32" s="6" t="s">
        <v>887</v>
      </c>
      <c r="C32" s="6" t="s">
        <v>45</v>
      </c>
      <c r="D32" s="16">
        <v>0</v>
      </c>
      <c r="E32" s="6" t="s">
        <v>718</v>
      </c>
      <c r="F32" s="6" t="s">
        <v>719</v>
      </c>
      <c r="G32" s="6" t="str">
        <f>VLOOKUP(E:E,'[2]Hakata Island Team'!$E:$G,3,)</f>
        <v xml:space="preserve">Sujith Sundaran </v>
      </c>
      <c r="H32" s="6" t="str">
        <f>VLOOKUP(E:E,'[2]Hakata Island Team'!$E:$H,4,)</f>
        <v>SPPL Fleet - B</v>
      </c>
      <c r="I32" s="6" t="s">
        <v>827</v>
      </c>
      <c r="J32" s="6" t="s">
        <v>720</v>
      </c>
      <c r="K32" s="6" t="s">
        <v>888</v>
      </c>
      <c r="L32" s="6" t="s">
        <v>45</v>
      </c>
      <c r="M32" s="17">
        <v>1</v>
      </c>
      <c r="N32" s="6" t="s">
        <v>45</v>
      </c>
      <c r="O32" s="6" t="s">
        <v>828</v>
      </c>
      <c r="P32" s="6" t="s">
        <v>829</v>
      </c>
      <c r="Q32" s="6" t="s">
        <v>45</v>
      </c>
      <c r="R32" s="6" t="s">
        <v>45</v>
      </c>
      <c r="S32" s="10">
        <v>0</v>
      </c>
      <c r="T32" s="18">
        <v>0</v>
      </c>
      <c r="U32" s="6" t="s">
        <v>722</v>
      </c>
      <c r="V32" s="6" t="s">
        <v>719</v>
      </c>
      <c r="W32" s="19" t="b">
        <f>TRUE()</f>
        <v>1</v>
      </c>
    </row>
    <row r="33" spans="1:23" x14ac:dyDescent="0.35">
      <c r="A33" s="5" t="s">
        <v>889</v>
      </c>
      <c r="B33" s="6" t="s">
        <v>890</v>
      </c>
      <c r="C33" s="6" t="s">
        <v>45</v>
      </c>
      <c r="D33" s="16">
        <v>0</v>
      </c>
      <c r="E33" s="6" t="s">
        <v>718</v>
      </c>
      <c r="F33" s="6" t="s">
        <v>719</v>
      </c>
      <c r="G33" s="6" t="str">
        <f>VLOOKUP(E:E,'[2]Hakata Island Team'!$E:$G,3,)</f>
        <v xml:space="preserve">Sujith Sundaran </v>
      </c>
      <c r="H33" s="6" t="str">
        <f>VLOOKUP(E:E,'[2]Hakata Island Team'!$E:$H,4,)</f>
        <v>SPPL Fleet - B</v>
      </c>
      <c r="I33" s="6" t="s">
        <v>891</v>
      </c>
      <c r="J33" s="6" t="s">
        <v>720</v>
      </c>
      <c r="K33" s="6" t="s">
        <v>45</v>
      </c>
      <c r="L33" s="6" t="s">
        <v>892</v>
      </c>
      <c r="M33" s="17">
        <v>1</v>
      </c>
      <c r="N33" s="6" t="s">
        <v>45</v>
      </c>
      <c r="O33" s="6" t="s">
        <v>863</v>
      </c>
      <c r="P33" s="6" t="s">
        <v>864</v>
      </c>
      <c r="Q33" s="6" t="s">
        <v>45</v>
      </c>
      <c r="R33" s="6" t="s">
        <v>45</v>
      </c>
      <c r="S33" s="10">
        <v>1</v>
      </c>
      <c r="T33" s="18">
        <v>0</v>
      </c>
      <c r="U33" s="6" t="s">
        <v>722</v>
      </c>
      <c r="V33" s="6" t="s">
        <v>719</v>
      </c>
      <c r="W33" s="19" t="b">
        <f>TRUE()</f>
        <v>1</v>
      </c>
    </row>
    <row r="34" spans="1:23" x14ac:dyDescent="0.35">
      <c r="A34" s="5" t="s">
        <v>893</v>
      </c>
      <c r="B34" s="6" t="s">
        <v>894</v>
      </c>
      <c r="C34" s="6" t="s">
        <v>45</v>
      </c>
      <c r="D34" s="16">
        <v>0</v>
      </c>
      <c r="E34" s="6" t="s">
        <v>718</v>
      </c>
      <c r="F34" s="6" t="s">
        <v>719</v>
      </c>
      <c r="G34" s="6" t="str">
        <f>VLOOKUP(E:E,'[2]Hakata Island Team'!$E:$G,3,)</f>
        <v xml:space="preserve">Sujith Sundaran </v>
      </c>
      <c r="H34" s="6" t="str">
        <f>VLOOKUP(E:E,'[2]Hakata Island Team'!$E:$H,4,)</f>
        <v>SPPL Fleet - B</v>
      </c>
      <c r="I34" s="6" t="s">
        <v>895</v>
      </c>
      <c r="J34" s="6" t="s">
        <v>720</v>
      </c>
      <c r="K34" s="6" t="s">
        <v>45</v>
      </c>
      <c r="L34" s="6" t="s">
        <v>892</v>
      </c>
      <c r="M34" s="17">
        <v>1</v>
      </c>
      <c r="N34" s="6" t="s">
        <v>45</v>
      </c>
      <c r="O34" s="6" t="s">
        <v>863</v>
      </c>
      <c r="P34" s="6" t="s">
        <v>864</v>
      </c>
      <c r="Q34" s="6" t="s">
        <v>45</v>
      </c>
      <c r="R34" s="6" t="s">
        <v>45</v>
      </c>
      <c r="S34" s="10">
        <v>1</v>
      </c>
      <c r="T34" s="18">
        <v>0</v>
      </c>
      <c r="U34" s="6" t="s">
        <v>722</v>
      </c>
      <c r="V34" s="6" t="s">
        <v>719</v>
      </c>
      <c r="W34" s="19" t="b">
        <f>TRUE()</f>
        <v>1</v>
      </c>
    </row>
    <row r="35" spans="1:23" x14ac:dyDescent="0.35">
      <c r="A35" s="5" t="s">
        <v>896</v>
      </c>
      <c r="B35" s="6" t="s">
        <v>832</v>
      </c>
      <c r="C35" s="6" t="s">
        <v>45</v>
      </c>
      <c r="D35" s="16">
        <v>0</v>
      </c>
      <c r="E35" s="6" t="s">
        <v>718</v>
      </c>
      <c r="F35" s="6" t="s">
        <v>719</v>
      </c>
      <c r="G35" s="6" t="str">
        <f>VLOOKUP(E:E,'[2]Hakata Island Team'!$E:$G,3,)</f>
        <v xml:space="preserve">Sujith Sundaran </v>
      </c>
      <c r="H35" s="6" t="str">
        <f>VLOOKUP(E:E,'[2]Hakata Island Team'!$E:$H,4,)</f>
        <v>SPPL Fleet - B</v>
      </c>
      <c r="I35" s="6" t="s">
        <v>897</v>
      </c>
      <c r="J35" s="6" t="s">
        <v>720</v>
      </c>
      <c r="K35" s="6" t="s">
        <v>45</v>
      </c>
      <c r="L35" s="6" t="s">
        <v>45</v>
      </c>
      <c r="M35" s="17">
        <v>1</v>
      </c>
      <c r="N35" s="6" t="s">
        <v>45</v>
      </c>
      <c r="O35" s="6" t="s">
        <v>835</v>
      </c>
      <c r="P35" s="6" t="s">
        <v>836</v>
      </c>
      <c r="Q35" s="6" t="s">
        <v>45</v>
      </c>
      <c r="R35" s="6" t="s">
        <v>45</v>
      </c>
      <c r="S35" s="10">
        <v>1</v>
      </c>
      <c r="T35" s="18">
        <v>0</v>
      </c>
      <c r="U35" s="6" t="s">
        <v>722</v>
      </c>
      <c r="V35" s="6" t="s">
        <v>719</v>
      </c>
      <c r="W35" s="19" t="b">
        <f>TRUE()</f>
        <v>1</v>
      </c>
    </row>
    <row r="36" spans="1:23" x14ac:dyDescent="0.35">
      <c r="A36" s="5" t="s">
        <v>898</v>
      </c>
      <c r="B36" s="6" t="s">
        <v>899</v>
      </c>
      <c r="C36" s="6" t="s">
        <v>45</v>
      </c>
      <c r="D36" s="16">
        <v>0</v>
      </c>
      <c r="E36" s="6" t="s">
        <v>718</v>
      </c>
      <c r="F36" s="6" t="s">
        <v>719</v>
      </c>
      <c r="G36" s="6" t="str">
        <f>VLOOKUP(E:E,'[2]Hakata Island Team'!$E:$G,3,)</f>
        <v xml:space="preserve">Sujith Sundaran </v>
      </c>
      <c r="H36" s="6" t="str">
        <f>VLOOKUP(E:E,'[2]Hakata Island Team'!$E:$H,4,)</f>
        <v>SPPL Fleet - B</v>
      </c>
      <c r="I36" s="6" t="s">
        <v>900</v>
      </c>
      <c r="J36" s="6" t="s">
        <v>720</v>
      </c>
      <c r="K36" s="6" t="s">
        <v>901</v>
      </c>
      <c r="L36" s="6" t="s">
        <v>45</v>
      </c>
      <c r="M36" s="17">
        <v>1</v>
      </c>
      <c r="N36" s="6" t="s">
        <v>45</v>
      </c>
      <c r="O36" s="6" t="s">
        <v>902</v>
      </c>
      <c r="P36" s="6" t="s">
        <v>903</v>
      </c>
      <c r="Q36" s="6" t="s">
        <v>45</v>
      </c>
      <c r="R36" s="6" t="s">
        <v>45</v>
      </c>
      <c r="S36" s="10">
        <v>0</v>
      </c>
      <c r="T36" s="18">
        <v>0</v>
      </c>
      <c r="U36" s="6" t="s">
        <v>722</v>
      </c>
      <c r="V36" s="6" t="s">
        <v>719</v>
      </c>
      <c r="W36" s="19" t="b">
        <f>TRUE()</f>
        <v>1</v>
      </c>
    </row>
    <row r="37" spans="1:23" x14ac:dyDescent="0.35">
      <c r="A37" s="5" t="s">
        <v>904</v>
      </c>
      <c r="B37" s="6" t="s">
        <v>905</v>
      </c>
      <c r="C37" s="6" t="s">
        <v>45</v>
      </c>
      <c r="D37" s="16">
        <v>0</v>
      </c>
      <c r="E37" s="6" t="s">
        <v>906</v>
      </c>
      <c r="F37" s="6" t="s">
        <v>907</v>
      </c>
      <c r="G37" s="6" t="str">
        <f>VLOOKUP(E:E,'[2]Hakata Island Team'!$E:$G,3,)</f>
        <v>Senthilvelan</v>
      </c>
      <c r="H37" s="6" t="str">
        <f>VLOOKUP(E:E,'[2]Hakata Island Team'!$E:$H,4,)</f>
        <v xml:space="preserve">SPPL Fleet - A </v>
      </c>
      <c r="I37" s="6" t="s">
        <v>908</v>
      </c>
      <c r="J37" s="6" t="s">
        <v>720</v>
      </c>
      <c r="K37" s="6" t="s">
        <v>909</v>
      </c>
      <c r="L37" s="6" t="s">
        <v>910</v>
      </c>
      <c r="M37" s="17">
        <v>1</v>
      </c>
      <c r="N37" s="6" t="s">
        <v>45</v>
      </c>
      <c r="O37" s="6" t="s">
        <v>911</v>
      </c>
      <c r="P37" s="6" t="s">
        <v>912</v>
      </c>
      <c r="Q37" s="6" t="s">
        <v>45</v>
      </c>
      <c r="R37" s="6" t="s">
        <v>45</v>
      </c>
      <c r="S37" s="10">
        <v>0</v>
      </c>
      <c r="T37" s="18">
        <v>0</v>
      </c>
      <c r="U37" s="6" t="s">
        <v>913</v>
      </c>
      <c r="V37" s="6" t="s">
        <v>907</v>
      </c>
      <c r="W37" s="19" t="b">
        <f>TRUE()</f>
        <v>1</v>
      </c>
    </row>
    <row r="38" spans="1:23" x14ac:dyDescent="0.35">
      <c r="A38" s="5" t="s">
        <v>914</v>
      </c>
      <c r="B38" s="6" t="s">
        <v>915</v>
      </c>
      <c r="C38" s="6" t="s">
        <v>45</v>
      </c>
      <c r="D38" s="16">
        <v>0</v>
      </c>
      <c r="E38" s="6" t="s">
        <v>750</v>
      </c>
      <c r="F38" s="6" t="s">
        <v>751</v>
      </c>
      <c r="G38" s="6" t="e">
        <f>VLOOKUP(E:E,'[2]Hakata Island Team'!$E:$G,3,)</f>
        <v>#N/A</v>
      </c>
      <c r="H38" s="6" t="e">
        <f>VLOOKUP(E:E,'[2]Hakata Island Team'!$E:$H,4,)</f>
        <v>#N/A</v>
      </c>
      <c r="I38" s="6" t="s">
        <v>916</v>
      </c>
      <c r="J38" s="6" t="s">
        <v>720</v>
      </c>
      <c r="K38" s="6" t="s">
        <v>917</v>
      </c>
      <c r="L38" s="6" t="s">
        <v>918</v>
      </c>
      <c r="M38" s="17">
        <v>1</v>
      </c>
      <c r="N38" s="6" t="s">
        <v>45</v>
      </c>
      <c r="O38" s="6" t="s">
        <v>919</v>
      </c>
      <c r="P38" s="6" t="s">
        <v>920</v>
      </c>
      <c r="Q38" s="6" t="s">
        <v>45</v>
      </c>
      <c r="R38" s="6" t="s">
        <v>45</v>
      </c>
      <c r="S38" s="10">
        <v>0</v>
      </c>
      <c r="T38" s="18">
        <v>0</v>
      </c>
      <c r="U38" s="6" t="s">
        <v>756</v>
      </c>
      <c r="V38" s="6" t="s">
        <v>751</v>
      </c>
      <c r="W38" s="19" t="b">
        <f>TRUE()</f>
        <v>1</v>
      </c>
    </row>
    <row r="39" spans="1:23" x14ac:dyDescent="0.35">
      <c r="A39" s="5" t="s">
        <v>921</v>
      </c>
      <c r="B39" s="6" t="s">
        <v>922</v>
      </c>
      <c r="C39" s="6" t="s">
        <v>45</v>
      </c>
      <c r="D39" s="16">
        <v>0</v>
      </c>
      <c r="E39" s="6" t="s">
        <v>750</v>
      </c>
      <c r="F39" s="6" t="s">
        <v>751</v>
      </c>
      <c r="G39" s="6" t="e">
        <f>VLOOKUP(E:E,'[2]Hakata Island Team'!$E:$G,3,)</f>
        <v>#N/A</v>
      </c>
      <c r="H39" s="6" t="e">
        <f>VLOOKUP(E:E,'[2]Hakata Island Team'!$E:$H,4,)</f>
        <v>#N/A</v>
      </c>
      <c r="I39" s="6" t="s">
        <v>45</v>
      </c>
      <c r="J39" s="6" t="s">
        <v>720</v>
      </c>
      <c r="K39" s="6" t="s">
        <v>923</v>
      </c>
      <c r="L39" s="6" t="s">
        <v>924</v>
      </c>
      <c r="M39" s="17">
        <v>1</v>
      </c>
      <c r="N39" s="6" t="s">
        <v>45</v>
      </c>
      <c r="O39" s="6" t="s">
        <v>925</v>
      </c>
      <c r="P39" s="6" t="s">
        <v>926</v>
      </c>
      <c r="Q39" s="6" t="s">
        <v>45</v>
      </c>
      <c r="R39" s="6" t="s">
        <v>45</v>
      </c>
      <c r="S39" s="10">
        <v>0</v>
      </c>
      <c r="T39" s="18">
        <v>0</v>
      </c>
      <c r="U39" s="6" t="s">
        <v>756</v>
      </c>
      <c r="V39" s="6" t="s">
        <v>751</v>
      </c>
      <c r="W39" s="19" t="b">
        <f>TRUE()</f>
        <v>1</v>
      </c>
    </row>
    <row r="40" spans="1:23" x14ac:dyDescent="0.35">
      <c r="A40" s="5" t="s">
        <v>927</v>
      </c>
      <c r="B40" s="6" t="s">
        <v>928</v>
      </c>
      <c r="C40" s="6" t="s">
        <v>45</v>
      </c>
      <c r="D40" s="16">
        <v>0</v>
      </c>
      <c r="E40" s="6" t="s">
        <v>750</v>
      </c>
      <c r="F40" s="6" t="s">
        <v>751</v>
      </c>
      <c r="G40" s="6" t="e">
        <f>VLOOKUP(E:E,'[2]Hakata Island Team'!$E:$G,3,)</f>
        <v>#N/A</v>
      </c>
      <c r="H40" s="6" t="e">
        <f>VLOOKUP(E:E,'[2]Hakata Island Team'!$E:$H,4,)</f>
        <v>#N/A</v>
      </c>
      <c r="I40" s="6" t="s">
        <v>929</v>
      </c>
      <c r="J40" s="6" t="s">
        <v>720</v>
      </c>
      <c r="K40" s="6" t="s">
        <v>45</v>
      </c>
      <c r="L40" s="6" t="s">
        <v>45</v>
      </c>
      <c r="M40" s="17">
        <v>1</v>
      </c>
      <c r="N40" s="6" t="s">
        <v>45</v>
      </c>
      <c r="O40" s="6" t="s">
        <v>734</v>
      </c>
      <c r="P40" s="6" t="s">
        <v>735</v>
      </c>
      <c r="Q40" s="6" t="s">
        <v>45</v>
      </c>
      <c r="R40" s="6" t="s">
        <v>45</v>
      </c>
      <c r="S40" s="10">
        <v>0</v>
      </c>
      <c r="T40" s="18">
        <v>0</v>
      </c>
      <c r="U40" s="6" t="s">
        <v>756</v>
      </c>
      <c r="V40" s="6" t="s">
        <v>751</v>
      </c>
      <c r="W40" s="19" t="b">
        <f>TRUE()</f>
        <v>1</v>
      </c>
    </row>
    <row r="41" spans="1:23" x14ac:dyDescent="0.35">
      <c r="A41" s="5" t="s">
        <v>930</v>
      </c>
      <c r="B41" s="6" t="s">
        <v>931</v>
      </c>
      <c r="C41" s="6" t="s">
        <v>45</v>
      </c>
      <c r="D41" s="16">
        <v>0</v>
      </c>
      <c r="E41" s="6" t="s">
        <v>750</v>
      </c>
      <c r="F41" s="6" t="s">
        <v>751</v>
      </c>
      <c r="G41" s="6" t="e">
        <f>VLOOKUP(E:E,'[2]Hakata Island Team'!$E:$G,3,)</f>
        <v>#N/A</v>
      </c>
      <c r="H41" s="6" t="e">
        <f>VLOOKUP(E:E,'[2]Hakata Island Team'!$E:$H,4,)</f>
        <v>#N/A</v>
      </c>
      <c r="I41" s="6" t="s">
        <v>932</v>
      </c>
      <c r="J41" s="6" t="s">
        <v>720</v>
      </c>
      <c r="K41" s="6" t="s">
        <v>933</v>
      </c>
      <c r="L41" s="6" t="s">
        <v>933</v>
      </c>
      <c r="M41" s="17">
        <v>1</v>
      </c>
      <c r="N41" s="6" t="s">
        <v>45</v>
      </c>
      <c r="O41" s="6" t="s">
        <v>934</v>
      </c>
      <c r="P41" s="6" t="s">
        <v>935</v>
      </c>
      <c r="Q41" s="6" t="s">
        <v>45</v>
      </c>
      <c r="R41" s="6" t="s">
        <v>45</v>
      </c>
      <c r="S41" s="10">
        <v>1</v>
      </c>
      <c r="T41" s="18">
        <v>0</v>
      </c>
      <c r="U41" s="6" t="s">
        <v>756</v>
      </c>
      <c r="V41" s="6" t="s">
        <v>751</v>
      </c>
      <c r="W41" s="19" t="b">
        <f>TRUE()</f>
        <v>1</v>
      </c>
    </row>
    <row r="42" spans="1:23" x14ac:dyDescent="0.35">
      <c r="A42" s="5" t="s">
        <v>936</v>
      </c>
      <c r="B42" s="6" t="s">
        <v>937</v>
      </c>
      <c r="C42" s="6" t="s">
        <v>45</v>
      </c>
      <c r="D42" s="16">
        <v>0</v>
      </c>
      <c r="E42" s="6" t="s">
        <v>750</v>
      </c>
      <c r="F42" s="6" t="s">
        <v>751</v>
      </c>
      <c r="G42" s="6" t="e">
        <f>VLOOKUP(E:E,'[2]Hakata Island Team'!$E:$G,3,)</f>
        <v>#N/A</v>
      </c>
      <c r="H42" s="6" t="e">
        <f>VLOOKUP(E:E,'[2]Hakata Island Team'!$E:$H,4,)</f>
        <v>#N/A</v>
      </c>
      <c r="I42" s="6" t="s">
        <v>932</v>
      </c>
      <c r="J42" s="6" t="s">
        <v>720</v>
      </c>
      <c r="K42" s="6" t="s">
        <v>938</v>
      </c>
      <c r="L42" s="6" t="s">
        <v>938</v>
      </c>
      <c r="M42" s="17">
        <v>1</v>
      </c>
      <c r="N42" s="6" t="s">
        <v>45</v>
      </c>
      <c r="O42" s="6" t="s">
        <v>934</v>
      </c>
      <c r="P42" s="6" t="s">
        <v>935</v>
      </c>
      <c r="Q42" s="6" t="s">
        <v>45</v>
      </c>
      <c r="R42" s="6" t="s">
        <v>45</v>
      </c>
      <c r="S42" s="10">
        <v>1</v>
      </c>
      <c r="T42" s="18">
        <v>0</v>
      </c>
      <c r="U42" s="6" t="s">
        <v>756</v>
      </c>
      <c r="V42" s="6" t="s">
        <v>751</v>
      </c>
      <c r="W42" s="19" t="b">
        <f>TRUE()</f>
        <v>1</v>
      </c>
    </row>
    <row r="43" spans="1:23" x14ac:dyDescent="0.35">
      <c r="A43" s="20" t="s">
        <v>939</v>
      </c>
      <c r="B43" s="21" t="s">
        <v>785</v>
      </c>
      <c r="C43" s="21" t="s">
        <v>45</v>
      </c>
      <c r="D43" s="22">
        <v>0</v>
      </c>
      <c r="E43" s="21" t="s">
        <v>750</v>
      </c>
      <c r="F43" s="21" t="s">
        <v>751</v>
      </c>
      <c r="G43" s="21" t="e">
        <f>VLOOKUP(E:E,'[2]Hakata Island Team'!$E:$G,3,)</f>
        <v>#N/A</v>
      </c>
      <c r="H43" s="21" t="e">
        <f>VLOOKUP(E:E,'[2]Hakata Island Team'!$E:$H,4,)</f>
        <v>#N/A</v>
      </c>
      <c r="I43" s="21" t="s">
        <v>932</v>
      </c>
      <c r="J43" s="21" t="s">
        <v>720</v>
      </c>
      <c r="K43" s="21" t="s">
        <v>940</v>
      </c>
      <c r="L43" s="21" t="s">
        <v>940</v>
      </c>
      <c r="M43" s="23">
        <v>1</v>
      </c>
      <c r="N43" s="21" t="s">
        <v>45</v>
      </c>
      <c r="O43" s="21" t="s">
        <v>934</v>
      </c>
      <c r="P43" s="21" t="s">
        <v>935</v>
      </c>
      <c r="Q43" s="21" t="s">
        <v>45</v>
      </c>
      <c r="R43" s="21" t="s">
        <v>45</v>
      </c>
      <c r="S43" s="24">
        <v>1</v>
      </c>
      <c r="T43" s="25">
        <v>0</v>
      </c>
      <c r="U43" s="21" t="s">
        <v>756</v>
      </c>
      <c r="V43" s="21" t="s">
        <v>751</v>
      </c>
      <c r="W43" s="26" t="b">
        <f>TRUE()</f>
        <v>1</v>
      </c>
    </row>
  </sheetData>
  <hyperlinks>
    <hyperlink ref="F1" location="Summary!A1" display="Back to summary" xr:uid="{75FA9774-D5CD-4624-9A65-E4892608581F}"/>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0EA72-7A0C-4107-BB8F-5391FEF6AAA2}">
  <dimension ref="A1:AG34"/>
  <sheetViews>
    <sheetView workbookViewId="0"/>
  </sheetViews>
  <sheetFormatPr defaultRowHeight="14.5" x14ac:dyDescent="0.35"/>
  <cols>
    <col min="2" max="2" width="13.26953125" bestFit="1" customWidth="1"/>
    <col min="3" max="3" width="17.54296875" bestFit="1" customWidth="1"/>
    <col min="4" max="4" width="10.08984375" bestFit="1" customWidth="1"/>
  </cols>
  <sheetData>
    <row r="1" spans="1:33" x14ac:dyDescent="0.35">
      <c r="C1" s="48" t="s">
        <v>2102</v>
      </c>
    </row>
    <row r="2" spans="1:33" x14ac:dyDescent="0.35">
      <c r="A2" s="1" t="s">
        <v>3</v>
      </c>
      <c r="B2" s="2" t="s">
        <v>69</v>
      </c>
      <c r="C2" s="2" t="s">
        <v>5</v>
      </c>
      <c r="D2" s="2" t="s">
        <v>6</v>
      </c>
      <c r="E2" s="2" t="s">
        <v>941</v>
      </c>
      <c r="F2" s="2" t="s">
        <v>942</v>
      </c>
      <c r="G2" s="2" t="s">
        <v>943</v>
      </c>
      <c r="H2" s="2" t="s">
        <v>944</v>
      </c>
      <c r="I2" s="2" t="s">
        <v>945</v>
      </c>
      <c r="J2" s="2" t="s">
        <v>946</v>
      </c>
      <c r="K2" s="2" t="s">
        <v>947</v>
      </c>
      <c r="L2" s="2" t="s">
        <v>948</v>
      </c>
      <c r="M2" s="2" t="s">
        <v>24</v>
      </c>
      <c r="N2" s="2" t="s">
        <v>949</v>
      </c>
      <c r="O2" s="2" t="s">
        <v>12</v>
      </c>
      <c r="P2" s="2" t="s">
        <v>950</v>
      </c>
      <c r="Q2" s="2" t="s">
        <v>951</v>
      </c>
      <c r="R2" s="2" t="s">
        <v>13</v>
      </c>
      <c r="S2" s="2" t="s">
        <v>952</v>
      </c>
      <c r="T2" s="2" t="s">
        <v>953</v>
      </c>
      <c r="U2" s="2" t="s">
        <v>954</v>
      </c>
      <c r="V2" s="2" t="s">
        <v>955</v>
      </c>
      <c r="W2" s="2" t="s">
        <v>956</v>
      </c>
      <c r="X2" s="2" t="s">
        <v>957</v>
      </c>
      <c r="Y2" s="2" t="s">
        <v>958</v>
      </c>
      <c r="Z2" s="2" t="s">
        <v>959</v>
      </c>
      <c r="AA2" s="2" t="s">
        <v>960</v>
      </c>
      <c r="AB2" s="2" t="s">
        <v>961</v>
      </c>
      <c r="AC2" s="2" t="s">
        <v>962</v>
      </c>
      <c r="AD2" s="2" t="s">
        <v>963</v>
      </c>
      <c r="AE2" s="2" t="s">
        <v>964</v>
      </c>
      <c r="AF2" s="2" t="s">
        <v>965</v>
      </c>
      <c r="AG2" s="3" t="s">
        <v>966</v>
      </c>
    </row>
    <row r="3" spans="1:33" x14ac:dyDescent="0.35">
      <c r="A3" s="5" t="s">
        <v>967</v>
      </c>
      <c r="B3" s="42" t="s">
        <v>2025</v>
      </c>
      <c r="C3" s="42" t="s">
        <v>2013</v>
      </c>
      <c r="D3" s="42" t="s">
        <v>2014</v>
      </c>
      <c r="E3" s="10">
        <v>687</v>
      </c>
      <c r="F3" s="6" t="s">
        <v>968</v>
      </c>
      <c r="G3" s="6" t="s">
        <v>969</v>
      </c>
      <c r="H3" s="6" t="s">
        <v>37</v>
      </c>
      <c r="I3" s="6" t="s">
        <v>45</v>
      </c>
      <c r="J3" s="8">
        <v>0</v>
      </c>
      <c r="K3" s="11">
        <v>46186.944444444402</v>
      </c>
      <c r="L3" s="11"/>
      <c r="M3" s="27" t="s">
        <v>970</v>
      </c>
      <c r="N3" s="10">
        <v>1</v>
      </c>
      <c r="O3" s="7">
        <v>46184</v>
      </c>
      <c r="P3" s="7">
        <v>46184</v>
      </c>
      <c r="Q3" s="8">
        <v>0</v>
      </c>
      <c r="R3" s="8">
        <v>0</v>
      </c>
      <c r="S3" s="8">
        <v>0</v>
      </c>
      <c r="T3" s="6" t="s">
        <v>45</v>
      </c>
      <c r="U3" s="6" t="s">
        <v>45</v>
      </c>
      <c r="V3" s="10">
        <v>0</v>
      </c>
      <c r="W3" s="6" t="s">
        <v>45</v>
      </c>
      <c r="X3" s="6" t="s">
        <v>45</v>
      </c>
      <c r="Y3" s="6" t="s">
        <v>26</v>
      </c>
      <c r="Z3" s="10" t="b">
        <v>0</v>
      </c>
      <c r="AA3" s="10" t="b">
        <v>0</v>
      </c>
      <c r="AB3" s="6" t="s">
        <v>45</v>
      </c>
      <c r="AC3" s="6" t="s">
        <v>45</v>
      </c>
      <c r="AD3" s="6" t="s">
        <v>971</v>
      </c>
      <c r="AE3" s="6" t="s">
        <v>971</v>
      </c>
      <c r="AF3" s="10" t="b">
        <v>0</v>
      </c>
      <c r="AG3" s="28" t="s">
        <v>45</v>
      </c>
    </row>
    <row r="4" spans="1:33" x14ac:dyDescent="0.35">
      <c r="A4" s="5" t="s">
        <v>124</v>
      </c>
      <c r="B4" s="6" t="s">
        <v>725</v>
      </c>
      <c r="C4" s="6" t="s">
        <v>2002</v>
      </c>
      <c r="D4" s="6" t="s">
        <v>1996</v>
      </c>
      <c r="E4" s="10">
        <v>444</v>
      </c>
      <c r="F4" s="6" t="s">
        <v>968</v>
      </c>
      <c r="G4" s="6" t="s">
        <v>972</v>
      </c>
      <c r="H4" s="6" t="s">
        <v>973</v>
      </c>
      <c r="I4" s="6" t="s">
        <v>45</v>
      </c>
      <c r="J4" s="8">
        <v>0</v>
      </c>
      <c r="K4" s="11">
        <v>46181.122222222199</v>
      </c>
      <c r="L4" s="11"/>
      <c r="M4" s="27" t="s">
        <v>970</v>
      </c>
      <c r="N4" s="10">
        <v>1</v>
      </c>
      <c r="O4" s="7">
        <v>46178</v>
      </c>
      <c r="P4" s="7">
        <v>46178</v>
      </c>
      <c r="Q4" s="8">
        <v>0</v>
      </c>
      <c r="R4" s="8">
        <v>0</v>
      </c>
      <c r="S4" s="8">
        <v>0</v>
      </c>
      <c r="T4" s="6" t="s">
        <v>45</v>
      </c>
      <c r="U4" s="6" t="s">
        <v>45</v>
      </c>
      <c r="V4" s="10">
        <v>0</v>
      </c>
      <c r="W4" s="6" t="s">
        <v>45</v>
      </c>
      <c r="X4" s="6" t="s">
        <v>45</v>
      </c>
      <c r="Y4" s="6" t="s">
        <v>26</v>
      </c>
      <c r="Z4" s="10" t="b">
        <v>0</v>
      </c>
      <c r="AA4" s="10" t="b">
        <v>0</v>
      </c>
      <c r="AB4" s="6" t="s">
        <v>45</v>
      </c>
      <c r="AC4" s="6" t="s">
        <v>45</v>
      </c>
      <c r="AD4" s="6" t="s">
        <v>974</v>
      </c>
      <c r="AE4" s="6" t="s">
        <v>974</v>
      </c>
      <c r="AF4" s="10" t="b">
        <v>0</v>
      </c>
      <c r="AG4" s="28" t="s">
        <v>45</v>
      </c>
    </row>
    <row r="5" spans="1:33" x14ac:dyDescent="0.35">
      <c r="A5" s="5" t="s">
        <v>124</v>
      </c>
      <c r="B5" s="6" t="s">
        <v>725</v>
      </c>
      <c r="C5" s="6" t="s">
        <v>2002</v>
      </c>
      <c r="D5" s="6" t="s">
        <v>1996</v>
      </c>
      <c r="E5" s="10">
        <v>445</v>
      </c>
      <c r="F5" s="6" t="s">
        <v>968</v>
      </c>
      <c r="G5" s="6" t="s">
        <v>975</v>
      </c>
      <c r="H5" s="6" t="s">
        <v>396</v>
      </c>
      <c r="I5" s="6" t="s">
        <v>45</v>
      </c>
      <c r="J5" s="8">
        <v>0</v>
      </c>
      <c r="K5" s="11">
        <v>46181.884722222203</v>
      </c>
      <c r="L5" s="11"/>
      <c r="M5" s="27" t="s">
        <v>970</v>
      </c>
      <c r="N5" s="10">
        <v>1</v>
      </c>
      <c r="O5" s="7">
        <v>46165</v>
      </c>
      <c r="P5" s="7">
        <v>46165</v>
      </c>
      <c r="Q5" s="8">
        <v>0</v>
      </c>
      <c r="R5" s="8">
        <v>0</v>
      </c>
      <c r="S5" s="8">
        <v>0</v>
      </c>
      <c r="T5" s="6" t="s">
        <v>45</v>
      </c>
      <c r="U5" s="6" t="s">
        <v>45</v>
      </c>
      <c r="V5" s="10">
        <v>0</v>
      </c>
      <c r="W5" s="6" t="s">
        <v>45</v>
      </c>
      <c r="X5" s="6" t="s">
        <v>45</v>
      </c>
      <c r="Y5" s="6" t="s">
        <v>26</v>
      </c>
      <c r="Z5" s="10" t="b">
        <v>0</v>
      </c>
      <c r="AA5" s="10" t="b">
        <v>0</v>
      </c>
      <c r="AB5" s="6" t="s">
        <v>45</v>
      </c>
      <c r="AC5" s="6" t="s">
        <v>45</v>
      </c>
      <c r="AD5" s="6" t="s">
        <v>974</v>
      </c>
      <c r="AE5" s="6" t="s">
        <v>974</v>
      </c>
      <c r="AF5" s="10" t="b">
        <v>0</v>
      </c>
      <c r="AG5" s="28" t="s">
        <v>45</v>
      </c>
    </row>
    <row r="6" spans="1:33" x14ac:dyDescent="0.35">
      <c r="A6" s="5" t="s">
        <v>158</v>
      </c>
      <c r="B6" s="6" t="s">
        <v>2026</v>
      </c>
      <c r="C6" s="6" t="s">
        <v>1995</v>
      </c>
      <c r="D6" s="6" t="s">
        <v>1996</v>
      </c>
      <c r="E6" s="10">
        <v>261</v>
      </c>
      <c r="F6" s="6" t="s">
        <v>968</v>
      </c>
      <c r="G6" s="6" t="s">
        <v>976</v>
      </c>
      <c r="H6" s="6" t="s">
        <v>977</v>
      </c>
      <c r="I6" s="6" t="s">
        <v>45</v>
      </c>
      <c r="J6" s="8">
        <v>0</v>
      </c>
      <c r="K6" s="11">
        <v>46188.752083333296</v>
      </c>
      <c r="L6" s="11"/>
      <c r="M6" s="27" t="s">
        <v>970</v>
      </c>
      <c r="N6" s="10">
        <v>1</v>
      </c>
      <c r="O6" s="7">
        <v>46184</v>
      </c>
      <c r="P6" s="7">
        <v>46184</v>
      </c>
      <c r="Q6" s="8">
        <v>0</v>
      </c>
      <c r="R6" s="8">
        <v>0</v>
      </c>
      <c r="S6" s="8">
        <v>0</v>
      </c>
      <c r="T6" s="6" t="s">
        <v>45</v>
      </c>
      <c r="U6" s="6" t="s">
        <v>45</v>
      </c>
      <c r="V6" s="10">
        <v>0</v>
      </c>
      <c r="W6" s="6" t="s">
        <v>45</v>
      </c>
      <c r="X6" s="6" t="s">
        <v>45</v>
      </c>
      <c r="Y6" s="6" t="s">
        <v>26</v>
      </c>
      <c r="Z6" s="10" t="b">
        <v>0</v>
      </c>
      <c r="AA6" s="10" t="b">
        <v>0</v>
      </c>
      <c r="AB6" s="6" t="s">
        <v>45</v>
      </c>
      <c r="AC6" s="6" t="s">
        <v>45</v>
      </c>
      <c r="AD6" s="6" t="s">
        <v>974</v>
      </c>
      <c r="AE6" s="6" t="s">
        <v>974</v>
      </c>
      <c r="AF6" s="10" t="b">
        <v>0</v>
      </c>
      <c r="AG6" s="28" t="s">
        <v>45</v>
      </c>
    </row>
    <row r="7" spans="1:33" x14ac:dyDescent="0.35">
      <c r="A7" s="5" t="s">
        <v>38</v>
      </c>
      <c r="B7" s="6" t="s">
        <v>803</v>
      </c>
      <c r="C7" s="6" t="s">
        <v>2018</v>
      </c>
      <c r="D7" s="6" t="s">
        <v>2006</v>
      </c>
      <c r="E7" s="10">
        <v>253</v>
      </c>
      <c r="F7" s="6" t="s">
        <v>978</v>
      </c>
      <c r="G7" s="6" t="s">
        <v>979</v>
      </c>
      <c r="H7" s="6" t="s">
        <v>396</v>
      </c>
      <c r="I7" s="6" t="s">
        <v>45</v>
      </c>
      <c r="J7" s="8">
        <v>0</v>
      </c>
      <c r="K7" s="11">
        <v>46156.943055555603</v>
      </c>
      <c r="L7" s="11"/>
      <c r="M7" s="27" t="s">
        <v>970</v>
      </c>
      <c r="N7" s="10">
        <v>1</v>
      </c>
      <c r="O7" s="7">
        <v>46140</v>
      </c>
      <c r="P7" s="7">
        <v>46140</v>
      </c>
      <c r="Q7" s="8">
        <v>0</v>
      </c>
      <c r="R7" s="8">
        <v>0</v>
      </c>
      <c r="S7" s="8">
        <v>0</v>
      </c>
      <c r="T7" s="6" t="s">
        <v>45</v>
      </c>
      <c r="U7" s="6" t="s">
        <v>45</v>
      </c>
      <c r="V7" s="10">
        <v>0</v>
      </c>
      <c r="W7" s="6" t="s">
        <v>45</v>
      </c>
      <c r="X7" s="6" t="s">
        <v>45</v>
      </c>
      <c r="Y7" s="6" t="s">
        <v>26</v>
      </c>
      <c r="Z7" s="10" t="b">
        <v>0</v>
      </c>
      <c r="AA7" s="10" t="b">
        <v>0</v>
      </c>
      <c r="AB7" s="6" t="s">
        <v>45</v>
      </c>
      <c r="AC7" s="6" t="s">
        <v>45</v>
      </c>
      <c r="AD7" s="6" t="s">
        <v>974</v>
      </c>
      <c r="AE7" s="6" t="s">
        <v>974</v>
      </c>
      <c r="AF7" s="10" t="b">
        <v>0</v>
      </c>
      <c r="AG7" s="28" t="s">
        <v>45</v>
      </c>
    </row>
    <row r="8" spans="1:33" x14ac:dyDescent="0.35">
      <c r="A8" s="5" t="s">
        <v>38</v>
      </c>
      <c r="B8" s="6" t="s">
        <v>803</v>
      </c>
      <c r="C8" s="6" t="s">
        <v>2018</v>
      </c>
      <c r="D8" s="6" t="s">
        <v>2006</v>
      </c>
      <c r="E8" s="10">
        <v>255</v>
      </c>
      <c r="F8" s="6" t="s">
        <v>978</v>
      </c>
      <c r="G8" s="6" t="s">
        <v>980</v>
      </c>
      <c r="H8" s="6" t="s">
        <v>981</v>
      </c>
      <c r="I8" s="6" t="s">
        <v>45</v>
      </c>
      <c r="J8" s="8">
        <v>0</v>
      </c>
      <c r="K8" s="11">
        <v>46172.401388888902</v>
      </c>
      <c r="L8" s="11"/>
      <c r="M8" s="27" t="s">
        <v>970</v>
      </c>
      <c r="N8" s="10">
        <v>1</v>
      </c>
      <c r="O8" s="7">
        <v>46172</v>
      </c>
      <c r="P8" s="7">
        <v>46172</v>
      </c>
      <c r="Q8" s="8">
        <v>0</v>
      </c>
      <c r="R8" s="8">
        <v>0</v>
      </c>
      <c r="S8" s="8">
        <v>0</v>
      </c>
      <c r="T8" s="6" t="s">
        <v>45</v>
      </c>
      <c r="U8" s="6" t="s">
        <v>45</v>
      </c>
      <c r="V8" s="10">
        <v>0</v>
      </c>
      <c r="W8" s="6" t="s">
        <v>45</v>
      </c>
      <c r="X8" s="6" t="s">
        <v>45</v>
      </c>
      <c r="Y8" s="6" t="s">
        <v>26</v>
      </c>
      <c r="Z8" s="10" t="b">
        <v>0</v>
      </c>
      <c r="AA8" s="10" t="b">
        <v>0</v>
      </c>
      <c r="AB8" s="6" t="s">
        <v>45</v>
      </c>
      <c r="AC8" s="6" t="s">
        <v>45</v>
      </c>
      <c r="AD8" s="6" t="s">
        <v>974</v>
      </c>
      <c r="AE8" s="6" t="s">
        <v>974</v>
      </c>
      <c r="AF8" s="10" t="b">
        <v>0</v>
      </c>
      <c r="AG8" s="28" t="s">
        <v>45</v>
      </c>
    </row>
    <row r="9" spans="1:33" x14ac:dyDescent="0.35">
      <c r="A9" s="5" t="s">
        <v>38</v>
      </c>
      <c r="B9" s="6" t="s">
        <v>803</v>
      </c>
      <c r="C9" s="6" t="s">
        <v>2018</v>
      </c>
      <c r="D9" s="6" t="s">
        <v>2006</v>
      </c>
      <c r="E9" s="10">
        <v>256</v>
      </c>
      <c r="F9" s="6" t="s">
        <v>978</v>
      </c>
      <c r="G9" s="6" t="s">
        <v>982</v>
      </c>
      <c r="H9" s="6" t="s">
        <v>981</v>
      </c>
      <c r="I9" s="6" t="s">
        <v>45</v>
      </c>
      <c r="J9" s="8">
        <v>0</v>
      </c>
      <c r="K9" s="11">
        <v>46172.401388888902</v>
      </c>
      <c r="L9" s="11"/>
      <c r="M9" s="27" t="s">
        <v>970</v>
      </c>
      <c r="N9" s="10">
        <v>1</v>
      </c>
      <c r="O9" s="7">
        <v>46172</v>
      </c>
      <c r="P9" s="7">
        <v>46172</v>
      </c>
      <c r="Q9" s="8">
        <v>0</v>
      </c>
      <c r="R9" s="8">
        <v>0</v>
      </c>
      <c r="S9" s="8">
        <v>0</v>
      </c>
      <c r="T9" s="6" t="s">
        <v>45</v>
      </c>
      <c r="U9" s="6" t="s">
        <v>45</v>
      </c>
      <c r="V9" s="10">
        <v>0</v>
      </c>
      <c r="W9" s="6" t="s">
        <v>45</v>
      </c>
      <c r="X9" s="6" t="s">
        <v>45</v>
      </c>
      <c r="Y9" s="6" t="s">
        <v>26</v>
      </c>
      <c r="Z9" s="10" t="b">
        <v>0</v>
      </c>
      <c r="AA9" s="10" t="b">
        <v>0</v>
      </c>
      <c r="AB9" s="6" t="s">
        <v>45</v>
      </c>
      <c r="AC9" s="6" t="s">
        <v>45</v>
      </c>
      <c r="AD9" s="6" t="s">
        <v>974</v>
      </c>
      <c r="AE9" s="6" t="s">
        <v>974</v>
      </c>
      <c r="AF9" s="10" t="b">
        <v>0</v>
      </c>
      <c r="AG9" s="28" t="s">
        <v>45</v>
      </c>
    </row>
    <row r="10" spans="1:33" x14ac:dyDescent="0.35">
      <c r="A10" s="5" t="s">
        <v>38</v>
      </c>
      <c r="B10" s="6" t="s">
        <v>803</v>
      </c>
      <c r="C10" s="6" t="s">
        <v>2018</v>
      </c>
      <c r="D10" s="6" t="s">
        <v>2006</v>
      </c>
      <c r="E10" s="10">
        <v>257</v>
      </c>
      <c r="F10" s="6" t="s">
        <v>978</v>
      </c>
      <c r="G10" s="6" t="s">
        <v>983</v>
      </c>
      <c r="H10" s="6" t="s">
        <v>981</v>
      </c>
      <c r="I10" s="6" t="s">
        <v>45</v>
      </c>
      <c r="J10" s="8">
        <v>0</v>
      </c>
      <c r="K10" s="11">
        <v>46172.402083333298</v>
      </c>
      <c r="L10" s="11"/>
      <c r="M10" s="27" t="s">
        <v>970</v>
      </c>
      <c r="N10" s="10">
        <v>1</v>
      </c>
      <c r="O10" s="7">
        <v>46172</v>
      </c>
      <c r="P10" s="7">
        <v>46172</v>
      </c>
      <c r="Q10" s="8">
        <v>0</v>
      </c>
      <c r="R10" s="8">
        <v>0</v>
      </c>
      <c r="S10" s="8">
        <v>0</v>
      </c>
      <c r="T10" s="6" t="s">
        <v>45</v>
      </c>
      <c r="U10" s="6" t="s">
        <v>45</v>
      </c>
      <c r="V10" s="10">
        <v>0</v>
      </c>
      <c r="W10" s="6" t="s">
        <v>45</v>
      </c>
      <c r="X10" s="6" t="s">
        <v>45</v>
      </c>
      <c r="Y10" s="6" t="s">
        <v>26</v>
      </c>
      <c r="Z10" s="10" t="b">
        <v>0</v>
      </c>
      <c r="AA10" s="10" t="b">
        <v>0</v>
      </c>
      <c r="AB10" s="6" t="s">
        <v>45</v>
      </c>
      <c r="AC10" s="6" t="s">
        <v>45</v>
      </c>
      <c r="AD10" s="6" t="s">
        <v>974</v>
      </c>
      <c r="AE10" s="6" t="s">
        <v>974</v>
      </c>
      <c r="AF10" s="10" t="b">
        <v>0</v>
      </c>
      <c r="AG10" s="28" t="s">
        <v>45</v>
      </c>
    </row>
    <row r="11" spans="1:33" x14ac:dyDescent="0.35">
      <c r="A11" s="5" t="s">
        <v>38</v>
      </c>
      <c r="B11" s="6" t="s">
        <v>803</v>
      </c>
      <c r="C11" s="6" t="s">
        <v>2018</v>
      </c>
      <c r="D11" s="6" t="s">
        <v>2006</v>
      </c>
      <c r="E11" s="10">
        <v>258</v>
      </c>
      <c r="F11" s="6" t="s">
        <v>978</v>
      </c>
      <c r="G11" s="6" t="s">
        <v>984</v>
      </c>
      <c r="H11" s="6" t="s">
        <v>981</v>
      </c>
      <c r="I11" s="6" t="s">
        <v>45</v>
      </c>
      <c r="J11" s="8">
        <v>0</v>
      </c>
      <c r="K11" s="11">
        <v>46172.402777777803</v>
      </c>
      <c r="L11" s="11"/>
      <c r="M11" s="27" t="s">
        <v>970</v>
      </c>
      <c r="N11" s="10">
        <v>1</v>
      </c>
      <c r="O11" s="7">
        <v>46172</v>
      </c>
      <c r="P11" s="7">
        <v>46172</v>
      </c>
      <c r="Q11" s="8">
        <v>0</v>
      </c>
      <c r="R11" s="8">
        <v>0</v>
      </c>
      <c r="S11" s="8">
        <v>0</v>
      </c>
      <c r="T11" s="6" t="s">
        <v>45</v>
      </c>
      <c r="U11" s="6" t="s">
        <v>45</v>
      </c>
      <c r="V11" s="10">
        <v>0</v>
      </c>
      <c r="W11" s="6" t="s">
        <v>45</v>
      </c>
      <c r="X11" s="6" t="s">
        <v>45</v>
      </c>
      <c r="Y11" s="6" t="s">
        <v>26</v>
      </c>
      <c r="Z11" s="10" t="b">
        <v>0</v>
      </c>
      <c r="AA11" s="10" t="b">
        <v>0</v>
      </c>
      <c r="AB11" s="6" t="s">
        <v>45</v>
      </c>
      <c r="AC11" s="6" t="s">
        <v>45</v>
      </c>
      <c r="AD11" s="6" t="s">
        <v>974</v>
      </c>
      <c r="AE11" s="6" t="s">
        <v>974</v>
      </c>
      <c r="AF11" s="10" t="b">
        <v>0</v>
      </c>
      <c r="AG11" s="28" t="s">
        <v>45</v>
      </c>
    </row>
    <row r="12" spans="1:33" x14ac:dyDescent="0.35">
      <c r="A12" s="5" t="s">
        <v>620</v>
      </c>
      <c r="B12" s="6" t="s">
        <v>2027</v>
      </c>
      <c r="C12" s="6" t="s">
        <v>2024</v>
      </c>
      <c r="D12" s="6" t="s">
        <v>2010</v>
      </c>
      <c r="E12" s="10">
        <v>617</v>
      </c>
      <c r="F12" s="6" t="s">
        <v>978</v>
      </c>
      <c r="G12" s="6" t="s">
        <v>985</v>
      </c>
      <c r="H12" s="6" t="s">
        <v>396</v>
      </c>
      <c r="I12" s="6" t="s">
        <v>45</v>
      </c>
      <c r="J12" s="8">
        <v>0</v>
      </c>
      <c r="K12" s="11">
        <v>46176.490277777797</v>
      </c>
      <c r="L12" s="11"/>
      <c r="M12" s="27" t="s">
        <v>970</v>
      </c>
      <c r="N12" s="10">
        <v>1</v>
      </c>
      <c r="O12" s="7">
        <v>46172</v>
      </c>
      <c r="P12" s="7">
        <v>46172</v>
      </c>
      <c r="Q12" s="8">
        <v>0</v>
      </c>
      <c r="R12" s="8">
        <v>0</v>
      </c>
      <c r="S12" s="8">
        <v>0</v>
      </c>
      <c r="T12" s="6" t="s">
        <v>45</v>
      </c>
      <c r="U12" s="6" t="s">
        <v>45</v>
      </c>
      <c r="V12" s="10">
        <v>0</v>
      </c>
      <c r="W12" s="6" t="s">
        <v>45</v>
      </c>
      <c r="X12" s="6" t="s">
        <v>45</v>
      </c>
      <c r="Y12" s="6" t="s">
        <v>26</v>
      </c>
      <c r="Z12" s="10" t="b">
        <v>0</v>
      </c>
      <c r="AA12" s="10" t="b">
        <v>0</v>
      </c>
      <c r="AB12" s="6" t="s">
        <v>45</v>
      </c>
      <c r="AC12" s="6" t="s">
        <v>45</v>
      </c>
      <c r="AD12" s="6" t="s">
        <v>974</v>
      </c>
      <c r="AE12" s="6" t="s">
        <v>974</v>
      </c>
      <c r="AF12" s="10" t="b">
        <v>0</v>
      </c>
      <c r="AG12" s="28" t="s">
        <v>45</v>
      </c>
    </row>
    <row r="13" spans="1:33" x14ac:dyDescent="0.35">
      <c r="A13" s="5" t="s">
        <v>105</v>
      </c>
      <c r="B13" s="6" t="s">
        <v>2028</v>
      </c>
      <c r="C13" s="6" t="s">
        <v>2022</v>
      </c>
      <c r="D13" s="6" t="s">
        <v>2001</v>
      </c>
      <c r="E13" s="10">
        <v>453</v>
      </c>
      <c r="F13" s="6" t="s">
        <v>978</v>
      </c>
      <c r="G13" s="6" t="s">
        <v>986</v>
      </c>
      <c r="H13" s="6" t="s">
        <v>981</v>
      </c>
      <c r="I13" s="6" t="s">
        <v>45</v>
      </c>
      <c r="J13" s="8">
        <v>0</v>
      </c>
      <c r="K13" s="11">
        <v>46182.390277777798</v>
      </c>
      <c r="L13" s="11"/>
      <c r="M13" s="27" t="s">
        <v>970</v>
      </c>
      <c r="N13" s="10">
        <v>1</v>
      </c>
      <c r="O13" s="7">
        <v>46178</v>
      </c>
      <c r="P13" s="7">
        <v>46178</v>
      </c>
      <c r="Q13" s="8">
        <v>0</v>
      </c>
      <c r="R13" s="8">
        <v>0</v>
      </c>
      <c r="S13" s="8">
        <v>0</v>
      </c>
      <c r="T13" s="6" t="s">
        <v>45</v>
      </c>
      <c r="U13" s="6" t="s">
        <v>45</v>
      </c>
      <c r="V13" s="10">
        <v>0</v>
      </c>
      <c r="W13" s="6" t="s">
        <v>45</v>
      </c>
      <c r="X13" s="6" t="s">
        <v>45</v>
      </c>
      <c r="Y13" s="6" t="s">
        <v>26</v>
      </c>
      <c r="Z13" s="10" t="b">
        <v>0</v>
      </c>
      <c r="AA13" s="10" t="b">
        <v>0</v>
      </c>
      <c r="AB13" s="6" t="s">
        <v>45</v>
      </c>
      <c r="AC13" s="6" t="s">
        <v>45</v>
      </c>
      <c r="AD13" s="6" t="s">
        <v>987</v>
      </c>
      <c r="AE13" s="6" t="s">
        <v>987</v>
      </c>
      <c r="AF13" s="10" t="b">
        <v>0</v>
      </c>
      <c r="AG13" s="28" t="s">
        <v>45</v>
      </c>
    </row>
    <row r="14" spans="1:33" x14ac:dyDescent="0.35">
      <c r="A14" s="5" t="s">
        <v>105</v>
      </c>
      <c r="B14" s="6" t="s">
        <v>2028</v>
      </c>
      <c r="C14" s="6" t="s">
        <v>2022</v>
      </c>
      <c r="D14" s="6" t="s">
        <v>2001</v>
      </c>
      <c r="E14" s="10">
        <v>455</v>
      </c>
      <c r="F14" s="6" t="s">
        <v>978</v>
      </c>
      <c r="G14" s="6" t="s">
        <v>988</v>
      </c>
      <c r="H14" s="6" t="s">
        <v>981</v>
      </c>
      <c r="I14" s="6" t="s">
        <v>45</v>
      </c>
      <c r="J14" s="8">
        <v>0</v>
      </c>
      <c r="K14" s="11">
        <v>46182.395833333299</v>
      </c>
      <c r="L14" s="11"/>
      <c r="M14" s="27" t="s">
        <v>970</v>
      </c>
      <c r="N14" s="10">
        <v>1</v>
      </c>
      <c r="O14" s="7">
        <v>46178</v>
      </c>
      <c r="P14" s="7">
        <v>46178</v>
      </c>
      <c r="Q14" s="8">
        <v>0</v>
      </c>
      <c r="R14" s="8">
        <v>0</v>
      </c>
      <c r="S14" s="8">
        <v>0</v>
      </c>
      <c r="T14" s="6" t="s">
        <v>45</v>
      </c>
      <c r="U14" s="6" t="s">
        <v>45</v>
      </c>
      <c r="V14" s="10">
        <v>0</v>
      </c>
      <c r="W14" s="6" t="s">
        <v>45</v>
      </c>
      <c r="X14" s="6" t="s">
        <v>45</v>
      </c>
      <c r="Y14" s="6" t="s">
        <v>26</v>
      </c>
      <c r="Z14" s="10" t="b">
        <v>0</v>
      </c>
      <c r="AA14" s="10" t="b">
        <v>0</v>
      </c>
      <c r="AB14" s="6" t="s">
        <v>45</v>
      </c>
      <c r="AC14" s="6" t="s">
        <v>45</v>
      </c>
      <c r="AD14" s="6" t="s">
        <v>987</v>
      </c>
      <c r="AE14" s="6" t="s">
        <v>987</v>
      </c>
      <c r="AF14" s="10" t="b">
        <v>0</v>
      </c>
      <c r="AG14" s="28" t="s">
        <v>45</v>
      </c>
    </row>
    <row r="15" spans="1:33" x14ac:dyDescent="0.35">
      <c r="A15" s="5" t="s">
        <v>105</v>
      </c>
      <c r="B15" s="6" t="s">
        <v>2028</v>
      </c>
      <c r="C15" s="6" t="s">
        <v>2022</v>
      </c>
      <c r="D15" s="6" t="s">
        <v>2001</v>
      </c>
      <c r="E15" s="10">
        <v>457</v>
      </c>
      <c r="F15" s="6" t="s">
        <v>978</v>
      </c>
      <c r="G15" s="6" t="s">
        <v>989</v>
      </c>
      <c r="H15" s="6" t="s">
        <v>981</v>
      </c>
      <c r="I15" s="6" t="s">
        <v>45</v>
      </c>
      <c r="J15" s="8">
        <v>0</v>
      </c>
      <c r="K15" s="11">
        <v>46182.403472222199</v>
      </c>
      <c r="L15" s="11"/>
      <c r="M15" s="27" t="s">
        <v>970</v>
      </c>
      <c r="N15" s="10">
        <v>1</v>
      </c>
      <c r="O15" s="7">
        <v>46178</v>
      </c>
      <c r="P15" s="7">
        <v>46178</v>
      </c>
      <c r="Q15" s="8">
        <v>0</v>
      </c>
      <c r="R15" s="8">
        <v>0</v>
      </c>
      <c r="S15" s="8">
        <v>0</v>
      </c>
      <c r="T15" s="6" t="s">
        <v>45</v>
      </c>
      <c r="U15" s="6" t="s">
        <v>45</v>
      </c>
      <c r="V15" s="10">
        <v>0</v>
      </c>
      <c r="W15" s="6" t="s">
        <v>45</v>
      </c>
      <c r="X15" s="6" t="s">
        <v>45</v>
      </c>
      <c r="Y15" s="6" t="s">
        <v>26</v>
      </c>
      <c r="Z15" s="10" t="b">
        <v>0</v>
      </c>
      <c r="AA15" s="10" t="b">
        <v>0</v>
      </c>
      <c r="AB15" s="6" t="s">
        <v>45</v>
      </c>
      <c r="AC15" s="6" t="s">
        <v>45</v>
      </c>
      <c r="AD15" s="6" t="s">
        <v>987</v>
      </c>
      <c r="AE15" s="6" t="s">
        <v>987</v>
      </c>
      <c r="AF15" s="10" t="b">
        <v>0</v>
      </c>
      <c r="AG15" s="28" t="s">
        <v>45</v>
      </c>
    </row>
    <row r="16" spans="1:33" x14ac:dyDescent="0.35">
      <c r="A16" s="5" t="s">
        <v>265</v>
      </c>
      <c r="B16" s="6" t="s">
        <v>817</v>
      </c>
      <c r="C16" s="6" t="s">
        <v>2007</v>
      </c>
      <c r="D16" s="6" t="s">
        <v>2006</v>
      </c>
      <c r="E16" s="10">
        <v>283</v>
      </c>
      <c r="F16" s="6" t="s">
        <v>968</v>
      </c>
      <c r="G16" s="6" t="s">
        <v>990</v>
      </c>
      <c r="H16" s="6" t="s">
        <v>396</v>
      </c>
      <c r="I16" s="6" t="s">
        <v>45</v>
      </c>
      <c r="J16" s="8">
        <v>0</v>
      </c>
      <c r="K16" s="11">
        <v>46187.442361111098</v>
      </c>
      <c r="L16" s="11"/>
      <c r="M16" s="27" t="s">
        <v>970</v>
      </c>
      <c r="N16" s="10">
        <v>1</v>
      </c>
      <c r="O16" s="7">
        <v>46186</v>
      </c>
      <c r="P16" s="7">
        <v>46186</v>
      </c>
      <c r="Q16" s="8">
        <v>0</v>
      </c>
      <c r="R16" s="8">
        <v>0</v>
      </c>
      <c r="S16" s="8">
        <v>0</v>
      </c>
      <c r="T16" s="6" t="s">
        <v>45</v>
      </c>
      <c r="U16" s="6" t="s">
        <v>45</v>
      </c>
      <c r="V16" s="10">
        <v>0</v>
      </c>
      <c r="W16" s="6" t="s">
        <v>45</v>
      </c>
      <c r="X16" s="6" t="s">
        <v>45</v>
      </c>
      <c r="Y16" s="6" t="s">
        <v>26</v>
      </c>
      <c r="Z16" s="10" t="b">
        <v>0</v>
      </c>
      <c r="AA16" s="10" t="b">
        <v>0</v>
      </c>
      <c r="AB16" s="6" t="s">
        <v>45</v>
      </c>
      <c r="AC16" s="6" t="s">
        <v>45</v>
      </c>
      <c r="AD16" s="6" t="s">
        <v>974</v>
      </c>
      <c r="AE16" s="6" t="s">
        <v>974</v>
      </c>
      <c r="AF16" s="10" t="b">
        <v>0</v>
      </c>
      <c r="AG16" s="28" t="s">
        <v>45</v>
      </c>
    </row>
    <row r="17" spans="1:33" x14ac:dyDescent="0.35">
      <c r="A17" s="5" t="s">
        <v>991</v>
      </c>
      <c r="B17" s="6" t="s">
        <v>1610</v>
      </c>
      <c r="C17" s="6" t="s">
        <v>2003</v>
      </c>
      <c r="D17" s="6" t="s">
        <v>2004</v>
      </c>
      <c r="E17" s="10">
        <v>837</v>
      </c>
      <c r="F17" s="6" t="s">
        <v>968</v>
      </c>
      <c r="G17" s="6" t="s">
        <v>992</v>
      </c>
      <c r="H17" s="6" t="s">
        <v>981</v>
      </c>
      <c r="I17" s="6" t="s">
        <v>45</v>
      </c>
      <c r="J17" s="8">
        <v>0</v>
      </c>
      <c r="K17" s="11">
        <v>46187.293749999997</v>
      </c>
      <c r="L17" s="11"/>
      <c r="M17" s="27" t="s">
        <v>970</v>
      </c>
      <c r="N17" s="10">
        <v>1</v>
      </c>
      <c r="O17" s="7">
        <v>46200</v>
      </c>
      <c r="P17" s="7">
        <v>46200</v>
      </c>
      <c r="Q17" s="8">
        <v>0</v>
      </c>
      <c r="R17" s="8">
        <v>0</v>
      </c>
      <c r="S17" s="8">
        <v>0</v>
      </c>
      <c r="T17" s="6" t="s">
        <v>45</v>
      </c>
      <c r="U17" s="6" t="s">
        <v>45</v>
      </c>
      <c r="V17" s="10">
        <v>0</v>
      </c>
      <c r="W17" s="6" t="s">
        <v>45</v>
      </c>
      <c r="X17" s="6" t="s">
        <v>45</v>
      </c>
      <c r="Y17" s="6" t="s">
        <v>26</v>
      </c>
      <c r="Z17" s="10" t="b">
        <v>0</v>
      </c>
      <c r="AA17" s="10" t="b">
        <v>0</v>
      </c>
      <c r="AB17" s="6" t="s">
        <v>45</v>
      </c>
      <c r="AC17" s="6" t="s">
        <v>45</v>
      </c>
      <c r="AD17" s="6" t="s">
        <v>974</v>
      </c>
      <c r="AE17" s="6" t="s">
        <v>974</v>
      </c>
      <c r="AF17" s="10" t="b">
        <v>0</v>
      </c>
      <c r="AG17" s="28" t="s">
        <v>45</v>
      </c>
    </row>
    <row r="18" spans="1:33" x14ac:dyDescent="0.35">
      <c r="A18" s="5" t="s">
        <v>51</v>
      </c>
      <c r="B18" s="6" t="s">
        <v>2029</v>
      </c>
      <c r="C18" s="6" t="s">
        <v>2007</v>
      </c>
      <c r="D18" s="6" t="s">
        <v>2006</v>
      </c>
      <c r="E18" s="10">
        <v>310</v>
      </c>
      <c r="F18" s="6" t="s">
        <v>978</v>
      </c>
      <c r="G18" s="6" t="s">
        <v>993</v>
      </c>
      <c r="H18" s="6" t="s">
        <v>396</v>
      </c>
      <c r="I18" s="6" t="s">
        <v>45</v>
      </c>
      <c r="J18" s="8">
        <v>0</v>
      </c>
      <c r="K18" s="11">
        <v>46186.358333333301</v>
      </c>
      <c r="L18" s="11"/>
      <c r="M18" s="27" t="s">
        <v>970</v>
      </c>
      <c r="N18" s="10">
        <v>1</v>
      </c>
      <c r="O18" s="7">
        <v>46186</v>
      </c>
      <c r="P18" s="7">
        <v>46186</v>
      </c>
      <c r="Q18" s="8">
        <v>0</v>
      </c>
      <c r="R18" s="8">
        <v>0</v>
      </c>
      <c r="S18" s="8">
        <v>0</v>
      </c>
      <c r="T18" s="6" t="s">
        <v>45</v>
      </c>
      <c r="U18" s="6" t="s">
        <v>45</v>
      </c>
      <c r="V18" s="10">
        <v>0</v>
      </c>
      <c r="W18" s="6" t="s">
        <v>45</v>
      </c>
      <c r="X18" s="6" t="s">
        <v>45</v>
      </c>
      <c r="Y18" s="6" t="s">
        <v>26</v>
      </c>
      <c r="Z18" s="10" t="b">
        <v>0</v>
      </c>
      <c r="AA18" s="10" t="b">
        <v>0</v>
      </c>
      <c r="AB18" s="6" t="s">
        <v>45</v>
      </c>
      <c r="AC18" s="6" t="s">
        <v>45</v>
      </c>
      <c r="AD18" s="6" t="s">
        <v>994</v>
      </c>
      <c r="AE18" s="6" t="s">
        <v>994</v>
      </c>
      <c r="AF18" s="10" t="b">
        <v>0</v>
      </c>
      <c r="AG18" s="28" t="s">
        <v>45</v>
      </c>
    </row>
    <row r="19" spans="1:33" x14ac:dyDescent="0.35">
      <c r="A19" s="5" t="s">
        <v>113</v>
      </c>
      <c r="B19" s="6" t="s">
        <v>2030</v>
      </c>
      <c r="C19" s="6" t="s">
        <v>2007</v>
      </c>
      <c r="D19" s="6" t="s">
        <v>2006</v>
      </c>
      <c r="E19" s="10">
        <v>241</v>
      </c>
      <c r="F19" s="6" t="s">
        <v>978</v>
      </c>
      <c r="G19" s="6" t="s">
        <v>995</v>
      </c>
      <c r="H19" s="6" t="s">
        <v>977</v>
      </c>
      <c r="I19" s="6" t="s">
        <v>45</v>
      </c>
      <c r="J19" s="8">
        <v>0</v>
      </c>
      <c r="K19" s="11">
        <v>46188.865277777797</v>
      </c>
      <c r="L19" s="11"/>
      <c r="M19" s="27" t="s">
        <v>970</v>
      </c>
      <c r="N19" s="10">
        <v>1</v>
      </c>
      <c r="O19" s="7">
        <v>46186</v>
      </c>
      <c r="P19" s="7">
        <v>46186</v>
      </c>
      <c r="Q19" s="8">
        <v>0</v>
      </c>
      <c r="R19" s="8">
        <v>0</v>
      </c>
      <c r="S19" s="8">
        <v>0</v>
      </c>
      <c r="T19" s="6" t="s">
        <v>45</v>
      </c>
      <c r="U19" s="6" t="s">
        <v>45</v>
      </c>
      <c r="V19" s="10">
        <v>0</v>
      </c>
      <c r="W19" s="6" t="s">
        <v>45</v>
      </c>
      <c r="X19" s="6" t="s">
        <v>45</v>
      </c>
      <c r="Y19" s="6" t="s">
        <v>26</v>
      </c>
      <c r="Z19" s="10" t="b">
        <v>0</v>
      </c>
      <c r="AA19" s="10" t="b">
        <v>0</v>
      </c>
      <c r="AB19" s="6" t="s">
        <v>45</v>
      </c>
      <c r="AC19" s="6" t="s">
        <v>45</v>
      </c>
      <c r="AD19" s="6" t="s">
        <v>996</v>
      </c>
      <c r="AE19" s="6" t="s">
        <v>996</v>
      </c>
      <c r="AF19" s="10" t="b">
        <v>0</v>
      </c>
      <c r="AG19" s="28" t="s">
        <v>45</v>
      </c>
    </row>
    <row r="20" spans="1:33" x14ac:dyDescent="0.35">
      <c r="A20" s="5" t="s">
        <v>280</v>
      </c>
      <c r="B20" s="6" t="s">
        <v>2031</v>
      </c>
      <c r="C20" s="6" t="s">
        <v>2005</v>
      </c>
      <c r="D20" s="6" t="s">
        <v>2006</v>
      </c>
      <c r="E20" s="10">
        <v>257</v>
      </c>
      <c r="F20" s="6" t="s">
        <v>978</v>
      </c>
      <c r="G20" s="6" t="s">
        <v>997</v>
      </c>
      <c r="H20" s="6" t="s">
        <v>981</v>
      </c>
      <c r="I20" s="6" t="s">
        <v>45</v>
      </c>
      <c r="J20" s="8">
        <v>0</v>
      </c>
      <c r="K20" s="11">
        <v>46173.215972222199</v>
      </c>
      <c r="L20" s="11"/>
      <c r="M20" s="27" t="s">
        <v>970</v>
      </c>
      <c r="N20" s="10">
        <v>1</v>
      </c>
      <c r="O20" s="7">
        <v>46166</v>
      </c>
      <c r="P20" s="7">
        <v>46166</v>
      </c>
      <c r="Q20" s="8">
        <v>0</v>
      </c>
      <c r="R20" s="8">
        <v>0</v>
      </c>
      <c r="S20" s="8">
        <v>0</v>
      </c>
      <c r="T20" s="6" t="s">
        <v>45</v>
      </c>
      <c r="U20" s="6" t="s">
        <v>45</v>
      </c>
      <c r="V20" s="10">
        <v>0</v>
      </c>
      <c r="W20" s="6" t="s">
        <v>45</v>
      </c>
      <c r="X20" s="6" t="s">
        <v>45</v>
      </c>
      <c r="Y20" s="6" t="s">
        <v>26</v>
      </c>
      <c r="Z20" s="10" t="b">
        <v>0</v>
      </c>
      <c r="AA20" s="10" t="b">
        <v>0</v>
      </c>
      <c r="AB20" s="6" t="s">
        <v>45</v>
      </c>
      <c r="AC20" s="6" t="s">
        <v>45</v>
      </c>
      <c r="AD20" s="6" t="s">
        <v>996</v>
      </c>
      <c r="AE20" s="6" t="s">
        <v>996</v>
      </c>
      <c r="AF20" s="10" t="b">
        <v>0</v>
      </c>
      <c r="AG20" s="28" t="s">
        <v>45</v>
      </c>
    </row>
    <row r="21" spans="1:33" x14ac:dyDescent="0.35">
      <c r="A21" s="5" t="s">
        <v>280</v>
      </c>
      <c r="B21" s="6" t="s">
        <v>2031</v>
      </c>
      <c r="C21" s="6" t="s">
        <v>2005</v>
      </c>
      <c r="D21" s="6" t="s">
        <v>2006</v>
      </c>
      <c r="E21" s="10">
        <v>258</v>
      </c>
      <c r="F21" s="6" t="s">
        <v>978</v>
      </c>
      <c r="G21" s="6" t="s">
        <v>998</v>
      </c>
      <c r="H21" s="6" t="s">
        <v>981</v>
      </c>
      <c r="I21" s="6" t="s">
        <v>45</v>
      </c>
      <c r="J21" s="8">
        <v>0</v>
      </c>
      <c r="K21" s="11">
        <v>46173.220138888901</v>
      </c>
      <c r="L21" s="11"/>
      <c r="M21" s="27" t="s">
        <v>970</v>
      </c>
      <c r="N21" s="10">
        <v>1</v>
      </c>
      <c r="O21" s="7">
        <v>46167</v>
      </c>
      <c r="P21" s="7">
        <v>46167</v>
      </c>
      <c r="Q21" s="8">
        <v>0</v>
      </c>
      <c r="R21" s="8">
        <v>0</v>
      </c>
      <c r="S21" s="8">
        <v>0</v>
      </c>
      <c r="T21" s="6" t="s">
        <v>45</v>
      </c>
      <c r="U21" s="6" t="s">
        <v>45</v>
      </c>
      <c r="V21" s="10">
        <v>0</v>
      </c>
      <c r="W21" s="6" t="s">
        <v>45</v>
      </c>
      <c r="X21" s="6" t="s">
        <v>45</v>
      </c>
      <c r="Y21" s="6" t="s">
        <v>26</v>
      </c>
      <c r="Z21" s="10" t="b">
        <v>0</v>
      </c>
      <c r="AA21" s="10" t="b">
        <v>0</v>
      </c>
      <c r="AB21" s="6" t="s">
        <v>45</v>
      </c>
      <c r="AC21" s="6" t="s">
        <v>45</v>
      </c>
      <c r="AD21" s="6" t="s">
        <v>996</v>
      </c>
      <c r="AE21" s="6" t="s">
        <v>996</v>
      </c>
      <c r="AF21" s="10" t="b">
        <v>0</v>
      </c>
      <c r="AG21" s="28" t="s">
        <v>45</v>
      </c>
    </row>
    <row r="22" spans="1:33" x14ac:dyDescent="0.35">
      <c r="A22" s="5" t="s">
        <v>280</v>
      </c>
      <c r="B22" s="6" t="s">
        <v>2031</v>
      </c>
      <c r="C22" s="6" t="s">
        <v>2005</v>
      </c>
      <c r="D22" s="6" t="s">
        <v>2006</v>
      </c>
      <c r="E22" s="10">
        <v>259</v>
      </c>
      <c r="F22" s="6" t="s">
        <v>978</v>
      </c>
      <c r="G22" s="6" t="s">
        <v>999</v>
      </c>
      <c r="H22" s="6" t="s">
        <v>981</v>
      </c>
      <c r="I22" s="6" t="s">
        <v>45</v>
      </c>
      <c r="J22" s="8">
        <v>0</v>
      </c>
      <c r="K22" s="11">
        <v>46173.223611111098</v>
      </c>
      <c r="L22" s="11"/>
      <c r="M22" s="27" t="s">
        <v>970</v>
      </c>
      <c r="N22" s="10">
        <v>1</v>
      </c>
      <c r="O22" s="7">
        <v>46168</v>
      </c>
      <c r="P22" s="7">
        <v>46168</v>
      </c>
      <c r="Q22" s="8">
        <v>0</v>
      </c>
      <c r="R22" s="8">
        <v>0</v>
      </c>
      <c r="S22" s="8">
        <v>0</v>
      </c>
      <c r="T22" s="6" t="s">
        <v>45</v>
      </c>
      <c r="U22" s="6" t="s">
        <v>45</v>
      </c>
      <c r="V22" s="10">
        <v>0</v>
      </c>
      <c r="W22" s="6" t="s">
        <v>45</v>
      </c>
      <c r="X22" s="6" t="s">
        <v>45</v>
      </c>
      <c r="Y22" s="6" t="s">
        <v>26</v>
      </c>
      <c r="Z22" s="10" t="b">
        <v>0</v>
      </c>
      <c r="AA22" s="10" t="b">
        <v>0</v>
      </c>
      <c r="AB22" s="6" t="s">
        <v>45</v>
      </c>
      <c r="AC22" s="6" t="s">
        <v>45</v>
      </c>
      <c r="AD22" s="6" t="s">
        <v>996</v>
      </c>
      <c r="AE22" s="6" t="s">
        <v>996</v>
      </c>
      <c r="AF22" s="10" t="b">
        <v>0</v>
      </c>
      <c r="AG22" s="28" t="s">
        <v>45</v>
      </c>
    </row>
    <row r="23" spans="1:33" x14ac:dyDescent="0.35">
      <c r="A23" s="5" t="s">
        <v>280</v>
      </c>
      <c r="B23" s="6" t="s">
        <v>2031</v>
      </c>
      <c r="C23" s="6" t="s">
        <v>2005</v>
      </c>
      <c r="D23" s="6" t="s">
        <v>2006</v>
      </c>
      <c r="E23" s="10">
        <v>260</v>
      </c>
      <c r="F23" s="6" t="s">
        <v>978</v>
      </c>
      <c r="G23" s="6" t="s">
        <v>1000</v>
      </c>
      <c r="H23" s="6" t="s">
        <v>981</v>
      </c>
      <c r="I23" s="6" t="s">
        <v>45</v>
      </c>
      <c r="J23" s="8">
        <v>0</v>
      </c>
      <c r="K23" s="11">
        <v>46173.2277777778</v>
      </c>
      <c r="L23" s="11"/>
      <c r="M23" s="27" t="s">
        <v>970</v>
      </c>
      <c r="N23" s="10">
        <v>1</v>
      </c>
      <c r="O23" s="7">
        <v>46170</v>
      </c>
      <c r="P23" s="7">
        <v>46170</v>
      </c>
      <c r="Q23" s="8">
        <v>0</v>
      </c>
      <c r="R23" s="8">
        <v>0</v>
      </c>
      <c r="S23" s="8">
        <v>0</v>
      </c>
      <c r="T23" s="6" t="s">
        <v>45</v>
      </c>
      <c r="U23" s="6" t="s">
        <v>45</v>
      </c>
      <c r="V23" s="10">
        <v>0</v>
      </c>
      <c r="W23" s="6" t="s">
        <v>45</v>
      </c>
      <c r="X23" s="6" t="s">
        <v>45</v>
      </c>
      <c r="Y23" s="6" t="s">
        <v>26</v>
      </c>
      <c r="Z23" s="10" t="b">
        <v>0</v>
      </c>
      <c r="AA23" s="10" t="b">
        <v>0</v>
      </c>
      <c r="AB23" s="6" t="s">
        <v>45</v>
      </c>
      <c r="AC23" s="6" t="s">
        <v>45</v>
      </c>
      <c r="AD23" s="6" t="s">
        <v>996</v>
      </c>
      <c r="AE23" s="6" t="s">
        <v>996</v>
      </c>
      <c r="AF23" s="10" t="b">
        <v>0</v>
      </c>
      <c r="AG23" s="28" t="s">
        <v>45</v>
      </c>
    </row>
    <row r="24" spans="1:33" x14ac:dyDescent="0.35">
      <c r="A24" s="5" t="s">
        <v>280</v>
      </c>
      <c r="B24" s="6" t="s">
        <v>2031</v>
      </c>
      <c r="C24" s="6" t="s">
        <v>2005</v>
      </c>
      <c r="D24" s="6" t="s">
        <v>2006</v>
      </c>
      <c r="E24" s="10">
        <v>261</v>
      </c>
      <c r="F24" s="6" t="s">
        <v>978</v>
      </c>
      <c r="G24" s="6" t="s">
        <v>1001</v>
      </c>
      <c r="H24" s="6" t="s">
        <v>396</v>
      </c>
      <c r="I24" s="6" t="s">
        <v>45</v>
      </c>
      <c r="J24" s="8">
        <v>0</v>
      </c>
      <c r="K24" s="11">
        <v>46173.328472222202</v>
      </c>
      <c r="L24" s="11"/>
      <c r="M24" s="27" t="s">
        <v>970</v>
      </c>
      <c r="N24" s="10">
        <v>1</v>
      </c>
      <c r="O24" s="7">
        <v>46152</v>
      </c>
      <c r="P24" s="7">
        <v>46152</v>
      </c>
      <c r="Q24" s="8">
        <v>0</v>
      </c>
      <c r="R24" s="8">
        <v>0</v>
      </c>
      <c r="S24" s="8">
        <v>0</v>
      </c>
      <c r="T24" s="6" t="s">
        <v>45</v>
      </c>
      <c r="U24" s="6" t="s">
        <v>45</v>
      </c>
      <c r="V24" s="10">
        <v>0</v>
      </c>
      <c r="W24" s="6" t="s">
        <v>45</v>
      </c>
      <c r="X24" s="6" t="s">
        <v>45</v>
      </c>
      <c r="Y24" s="6" t="s">
        <v>26</v>
      </c>
      <c r="Z24" s="10" t="b">
        <v>0</v>
      </c>
      <c r="AA24" s="10" t="b">
        <v>0</v>
      </c>
      <c r="AB24" s="6" t="s">
        <v>45</v>
      </c>
      <c r="AC24" s="6" t="s">
        <v>45</v>
      </c>
      <c r="AD24" s="6" t="s">
        <v>994</v>
      </c>
      <c r="AE24" s="6" t="s">
        <v>994</v>
      </c>
      <c r="AF24" s="10" t="b">
        <v>0</v>
      </c>
      <c r="AG24" s="28" t="s">
        <v>45</v>
      </c>
    </row>
    <row r="25" spans="1:33" x14ac:dyDescent="0.35">
      <c r="A25" s="5" t="s">
        <v>853</v>
      </c>
      <c r="B25" s="6" t="s">
        <v>2032</v>
      </c>
      <c r="C25" s="6" t="s">
        <v>2005</v>
      </c>
      <c r="D25" s="6" t="s">
        <v>2006</v>
      </c>
      <c r="E25" s="10">
        <v>320</v>
      </c>
      <c r="F25" s="6" t="s">
        <v>978</v>
      </c>
      <c r="G25" s="6" t="s">
        <v>1002</v>
      </c>
      <c r="H25" s="6" t="s">
        <v>1003</v>
      </c>
      <c r="I25" s="6" t="s">
        <v>45</v>
      </c>
      <c r="J25" s="8">
        <v>0</v>
      </c>
      <c r="K25" s="11">
        <v>46149.421527777798</v>
      </c>
      <c r="L25" s="11"/>
      <c r="M25" s="27" t="s">
        <v>970</v>
      </c>
      <c r="N25" s="10">
        <v>1</v>
      </c>
      <c r="O25" s="7">
        <v>46148</v>
      </c>
      <c r="P25" s="7">
        <v>46148</v>
      </c>
      <c r="Q25" s="8">
        <v>0</v>
      </c>
      <c r="R25" s="8">
        <v>0</v>
      </c>
      <c r="S25" s="8">
        <v>0</v>
      </c>
      <c r="T25" s="6" t="s">
        <v>45</v>
      </c>
      <c r="U25" s="6" t="s">
        <v>45</v>
      </c>
      <c r="V25" s="10">
        <v>0</v>
      </c>
      <c r="W25" s="6" t="s">
        <v>45</v>
      </c>
      <c r="X25" s="6" t="s">
        <v>45</v>
      </c>
      <c r="Y25" s="6" t="s">
        <v>26</v>
      </c>
      <c r="Z25" s="10" t="b">
        <v>0</v>
      </c>
      <c r="AA25" s="10" t="b">
        <v>0</v>
      </c>
      <c r="AB25" s="6" t="s">
        <v>45</v>
      </c>
      <c r="AC25" s="6" t="s">
        <v>45</v>
      </c>
      <c r="AD25" s="6" t="s">
        <v>971</v>
      </c>
      <c r="AE25" s="6" t="s">
        <v>971</v>
      </c>
      <c r="AF25" s="10" t="b">
        <v>0</v>
      </c>
      <c r="AG25" s="28" t="s">
        <v>45</v>
      </c>
    </row>
    <row r="26" spans="1:33" x14ac:dyDescent="0.35">
      <c r="A26" s="5" t="s">
        <v>853</v>
      </c>
      <c r="B26" s="6" t="s">
        <v>2032</v>
      </c>
      <c r="C26" s="6" t="s">
        <v>2005</v>
      </c>
      <c r="D26" s="6" t="s">
        <v>2006</v>
      </c>
      <c r="E26" s="10">
        <v>321</v>
      </c>
      <c r="F26" s="6" t="s">
        <v>978</v>
      </c>
      <c r="G26" s="6" t="s">
        <v>1004</v>
      </c>
      <c r="H26" s="6" t="s">
        <v>973</v>
      </c>
      <c r="I26" s="6" t="s">
        <v>45</v>
      </c>
      <c r="J26" s="8">
        <v>0</v>
      </c>
      <c r="K26" s="11">
        <v>46154.6</v>
      </c>
      <c r="L26" s="11"/>
      <c r="M26" s="27" t="s">
        <v>970</v>
      </c>
      <c r="N26" s="10">
        <v>1</v>
      </c>
      <c r="O26" s="7">
        <v>46153</v>
      </c>
      <c r="P26" s="7">
        <v>46153</v>
      </c>
      <c r="Q26" s="8">
        <v>0</v>
      </c>
      <c r="R26" s="8">
        <v>0</v>
      </c>
      <c r="S26" s="8">
        <v>0</v>
      </c>
      <c r="T26" s="6" t="s">
        <v>45</v>
      </c>
      <c r="U26" s="6" t="s">
        <v>45</v>
      </c>
      <c r="V26" s="10">
        <v>0</v>
      </c>
      <c r="W26" s="6" t="s">
        <v>45</v>
      </c>
      <c r="X26" s="6" t="s">
        <v>45</v>
      </c>
      <c r="Y26" s="6" t="s">
        <v>26</v>
      </c>
      <c r="Z26" s="10" t="b">
        <v>0</v>
      </c>
      <c r="AA26" s="10" t="b">
        <v>0</v>
      </c>
      <c r="AB26" s="6" t="s">
        <v>45</v>
      </c>
      <c r="AC26" s="6" t="s">
        <v>45</v>
      </c>
      <c r="AD26" s="6" t="s">
        <v>994</v>
      </c>
      <c r="AE26" s="6" t="s">
        <v>994</v>
      </c>
      <c r="AF26" s="10" t="b">
        <v>0</v>
      </c>
      <c r="AG26" s="28" t="s">
        <v>45</v>
      </c>
    </row>
    <row r="27" spans="1:33" x14ac:dyDescent="0.35">
      <c r="A27" s="5" t="s">
        <v>853</v>
      </c>
      <c r="B27" s="6" t="s">
        <v>2032</v>
      </c>
      <c r="C27" s="6" t="s">
        <v>2005</v>
      </c>
      <c r="D27" s="6" t="s">
        <v>2006</v>
      </c>
      <c r="E27" s="10">
        <v>322</v>
      </c>
      <c r="F27" s="6" t="s">
        <v>978</v>
      </c>
      <c r="G27" s="6" t="s">
        <v>1005</v>
      </c>
      <c r="H27" s="6" t="s">
        <v>396</v>
      </c>
      <c r="I27" s="6" t="s">
        <v>45</v>
      </c>
      <c r="J27" s="8">
        <v>0</v>
      </c>
      <c r="K27" s="11">
        <v>46162.461111111101</v>
      </c>
      <c r="L27" s="11"/>
      <c r="M27" s="27" t="s">
        <v>970</v>
      </c>
      <c r="N27" s="10">
        <v>1</v>
      </c>
      <c r="O27" s="7">
        <v>46160</v>
      </c>
      <c r="P27" s="7">
        <v>46160</v>
      </c>
      <c r="Q27" s="8">
        <v>0</v>
      </c>
      <c r="R27" s="8">
        <v>0</v>
      </c>
      <c r="S27" s="8">
        <v>0</v>
      </c>
      <c r="T27" s="6" t="s">
        <v>45</v>
      </c>
      <c r="U27" s="6" t="s">
        <v>45</v>
      </c>
      <c r="V27" s="10">
        <v>0</v>
      </c>
      <c r="W27" s="6" t="s">
        <v>45</v>
      </c>
      <c r="X27" s="6" t="s">
        <v>45</v>
      </c>
      <c r="Y27" s="6" t="s">
        <v>26</v>
      </c>
      <c r="Z27" s="10" t="b">
        <v>0</v>
      </c>
      <c r="AA27" s="10" t="b">
        <v>0</v>
      </c>
      <c r="AB27" s="6" t="s">
        <v>45</v>
      </c>
      <c r="AC27" s="6" t="s">
        <v>45</v>
      </c>
      <c r="AD27" s="6" t="s">
        <v>994</v>
      </c>
      <c r="AE27" s="6" t="s">
        <v>994</v>
      </c>
      <c r="AF27" s="10" t="b">
        <v>0</v>
      </c>
      <c r="AG27" s="28" t="s">
        <v>45</v>
      </c>
    </row>
    <row r="28" spans="1:33" x14ac:dyDescent="0.35">
      <c r="A28" s="5" t="s">
        <v>853</v>
      </c>
      <c r="B28" s="6" t="s">
        <v>2032</v>
      </c>
      <c r="C28" s="6" t="s">
        <v>2005</v>
      </c>
      <c r="D28" s="6" t="s">
        <v>2006</v>
      </c>
      <c r="E28" s="10">
        <v>323</v>
      </c>
      <c r="F28" s="6" t="s">
        <v>978</v>
      </c>
      <c r="G28" s="6" t="s">
        <v>1006</v>
      </c>
      <c r="H28" s="6" t="s">
        <v>981</v>
      </c>
      <c r="I28" s="6" t="s">
        <v>45</v>
      </c>
      <c r="J28" s="8">
        <v>0</v>
      </c>
      <c r="K28" s="11">
        <v>46167.232638888898</v>
      </c>
      <c r="L28" s="11"/>
      <c r="M28" s="27" t="s">
        <v>970</v>
      </c>
      <c r="N28" s="10">
        <v>1</v>
      </c>
      <c r="O28" s="7">
        <v>46167</v>
      </c>
      <c r="P28" s="7">
        <v>46167</v>
      </c>
      <c r="Q28" s="8">
        <v>0</v>
      </c>
      <c r="R28" s="8">
        <v>0</v>
      </c>
      <c r="S28" s="8">
        <v>0</v>
      </c>
      <c r="T28" s="6" t="s">
        <v>45</v>
      </c>
      <c r="U28" s="6" t="s">
        <v>45</v>
      </c>
      <c r="V28" s="10">
        <v>0</v>
      </c>
      <c r="W28" s="6" t="s">
        <v>45</v>
      </c>
      <c r="X28" s="6" t="s">
        <v>45</v>
      </c>
      <c r="Y28" s="6" t="s">
        <v>26</v>
      </c>
      <c r="Z28" s="10" t="b">
        <v>0</v>
      </c>
      <c r="AA28" s="10" t="b">
        <v>0</v>
      </c>
      <c r="AB28" s="6" t="s">
        <v>45</v>
      </c>
      <c r="AC28" s="6" t="s">
        <v>45</v>
      </c>
      <c r="AD28" s="6" t="s">
        <v>996</v>
      </c>
      <c r="AE28" s="6" t="s">
        <v>996</v>
      </c>
      <c r="AF28" s="10" t="b">
        <v>0</v>
      </c>
      <c r="AG28" s="28" t="s">
        <v>45</v>
      </c>
    </row>
    <row r="29" spans="1:33" x14ac:dyDescent="0.35">
      <c r="A29" s="5" t="s">
        <v>853</v>
      </c>
      <c r="B29" s="6" t="s">
        <v>2032</v>
      </c>
      <c r="C29" s="6" t="s">
        <v>2005</v>
      </c>
      <c r="D29" s="6" t="s">
        <v>2006</v>
      </c>
      <c r="E29" s="10">
        <v>324</v>
      </c>
      <c r="F29" s="6" t="s">
        <v>978</v>
      </c>
      <c r="G29" s="6" t="s">
        <v>1007</v>
      </c>
      <c r="H29" s="6" t="s">
        <v>981</v>
      </c>
      <c r="I29" s="6" t="s">
        <v>45</v>
      </c>
      <c r="J29" s="8">
        <v>0</v>
      </c>
      <c r="K29" s="11">
        <v>46167.252777777801</v>
      </c>
      <c r="L29" s="11"/>
      <c r="M29" s="27" t="s">
        <v>970</v>
      </c>
      <c r="N29" s="10">
        <v>1</v>
      </c>
      <c r="O29" s="7">
        <v>46167</v>
      </c>
      <c r="P29" s="7">
        <v>46167</v>
      </c>
      <c r="Q29" s="8">
        <v>0</v>
      </c>
      <c r="R29" s="8">
        <v>0</v>
      </c>
      <c r="S29" s="8">
        <v>0</v>
      </c>
      <c r="T29" s="6" t="s">
        <v>45</v>
      </c>
      <c r="U29" s="6" t="s">
        <v>45</v>
      </c>
      <c r="V29" s="10">
        <v>0</v>
      </c>
      <c r="W29" s="6" t="s">
        <v>45</v>
      </c>
      <c r="X29" s="6" t="s">
        <v>45</v>
      </c>
      <c r="Y29" s="6" t="s">
        <v>26</v>
      </c>
      <c r="Z29" s="10" t="b">
        <v>0</v>
      </c>
      <c r="AA29" s="10" t="b">
        <v>0</v>
      </c>
      <c r="AB29" s="6" t="s">
        <v>45</v>
      </c>
      <c r="AC29" s="6" t="s">
        <v>45</v>
      </c>
      <c r="AD29" s="6" t="s">
        <v>996</v>
      </c>
      <c r="AE29" s="6" t="s">
        <v>996</v>
      </c>
      <c r="AF29" s="10" t="b">
        <v>0</v>
      </c>
      <c r="AG29" s="28" t="s">
        <v>45</v>
      </c>
    </row>
    <row r="30" spans="1:33" x14ac:dyDescent="0.35">
      <c r="A30" s="5" t="s">
        <v>853</v>
      </c>
      <c r="B30" s="6" t="s">
        <v>2032</v>
      </c>
      <c r="C30" s="6" t="s">
        <v>2005</v>
      </c>
      <c r="D30" s="6" t="s">
        <v>2006</v>
      </c>
      <c r="E30" s="10">
        <v>325</v>
      </c>
      <c r="F30" s="6" t="s">
        <v>978</v>
      </c>
      <c r="G30" s="6" t="s">
        <v>1008</v>
      </c>
      <c r="H30" s="6" t="s">
        <v>981</v>
      </c>
      <c r="I30" s="6" t="s">
        <v>45</v>
      </c>
      <c r="J30" s="8">
        <v>0</v>
      </c>
      <c r="K30" s="11">
        <v>46169.222222222197</v>
      </c>
      <c r="L30" s="11"/>
      <c r="M30" s="27" t="s">
        <v>970</v>
      </c>
      <c r="N30" s="10">
        <v>1</v>
      </c>
      <c r="O30" s="7">
        <v>46168</v>
      </c>
      <c r="P30" s="7">
        <v>46168</v>
      </c>
      <c r="Q30" s="8">
        <v>0</v>
      </c>
      <c r="R30" s="8">
        <v>0</v>
      </c>
      <c r="S30" s="8">
        <v>0</v>
      </c>
      <c r="T30" s="6" t="s">
        <v>45</v>
      </c>
      <c r="U30" s="6" t="s">
        <v>45</v>
      </c>
      <c r="V30" s="10">
        <v>0</v>
      </c>
      <c r="W30" s="6" t="s">
        <v>45</v>
      </c>
      <c r="X30" s="6" t="s">
        <v>45</v>
      </c>
      <c r="Y30" s="6" t="s">
        <v>26</v>
      </c>
      <c r="Z30" s="10" t="b">
        <v>0</v>
      </c>
      <c r="AA30" s="10" t="b">
        <v>0</v>
      </c>
      <c r="AB30" s="6" t="s">
        <v>45</v>
      </c>
      <c r="AC30" s="6" t="s">
        <v>45</v>
      </c>
      <c r="AD30" s="6" t="s">
        <v>996</v>
      </c>
      <c r="AE30" s="6" t="s">
        <v>996</v>
      </c>
      <c r="AF30" s="10" t="b">
        <v>0</v>
      </c>
      <c r="AG30" s="28" t="s">
        <v>45</v>
      </c>
    </row>
    <row r="31" spans="1:33" x14ac:dyDescent="0.35">
      <c r="A31" s="5" t="s">
        <v>853</v>
      </c>
      <c r="B31" s="6" t="s">
        <v>2032</v>
      </c>
      <c r="C31" s="6" t="s">
        <v>2005</v>
      </c>
      <c r="D31" s="6" t="s">
        <v>2006</v>
      </c>
      <c r="E31" s="10">
        <v>326</v>
      </c>
      <c r="F31" s="6" t="s">
        <v>978</v>
      </c>
      <c r="G31" s="6" t="s">
        <v>1009</v>
      </c>
      <c r="H31" s="6" t="s">
        <v>981</v>
      </c>
      <c r="I31" s="6" t="s">
        <v>45</v>
      </c>
      <c r="J31" s="8">
        <v>0</v>
      </c>
      <c r="K31" s="11">
        <v>46169.222916666702</v>
      </c>
      <c r="L31" s="11"/>
      <c r="M31" s="27" t="s">
        <v>970</v>
      </c>
      <c r="N31" s="10">
        <v>1</v>
      </c>
      <c r="O31" s="7">
        <v>46168</v>
      </c>
      <c r="P31" s="7">
        <v>46168</v>
      </c>
      <c r="Q31" s="8">
        <v>0</v>
      </c>
      <c r="R31" s="8">
        <v>0</v>
      </c>
      <c r="S31" s="8">
        <v>0</v>
      </c>
      <c r="T31" s="6" t="s">
        <v>45</v>
      </c>
      <c r="U31" s="6" t="s">
        <v>45</v>
      </c>
      <c r="V31" s="10">
        <v>0</v>
      </c>
      <c r="W31" s="6" t="s">
        <v>45</v>
      </c>
      <c r="X31" s="6" t="s">
        <v>45</v>
      </c>
      <c r="Y31" s="6" t="s">
        <v>26</v>
      </c>
      <c r="Z31" s="10" t="b">
        <v>0</v>
      </c>
      <c r="AA31" s="10" t="b">
        <v>0</v>
      </c>
      <c r="AB31" s="6" t="s">
        <v>45</v>
      </c>
      <c r="AC31" s="6" t="s">
        <v>45</v>
      </c>
      <c r="AD31" s="6" t="s">
        <v>996</v>
      </c>
      <c r="AE31" s="6" t="s">
        <v>996</v>
      </c>
      <c r="AF31" s="10" t="b">
        <v>0</v>
      </c>
      <c r="AG31" s="28" t="s">
        <v>45</v>
      </c>
    </row>
    <row r="32" spans="1:33" x14ac:dyDescent="0.35">
      <c r="A32" s="5" t="s">
        <v>853</v>
      </c>
      <c r="B32" s="6" t="s">
        <v>2032</v>
      </c>
      <c r="C32" s="6" t="s">
        <v>2005</v>
      </c>
      <c r="D32" s="6" t="s">
        <v>2006</v>
      </c>
      <c r="E32" s="10">
        <v>330</v>
      </c>
      <c r="F32" s="6" t="s">
        <v>978</v>
      </c>
      <c r="G32" s="6" t="s">
        <v>1010</v>
      </c>
      <c r="H32" s="6" t="s">
        <v>973</v>
      </c>
      <c r="I32" s="6" t="s">
        <v>45</v>
      </c>
      <c r="J32" s="8">
        <v>0</v>
      </c>
      <c r="K32" s="11">
        <v>46186.420833333301</v>
      </c>
      <c r="L32" s="11"/>
      <c r="M32" s="27" t="s">
        <v>970</v>
      </c>
      <c r="N32" s="10">
        <v>1</v>
      </c>
      <c r="O32" s="7">
        <v>46185</v>
      </c>
      <c r="P32" s="7">
        <v>46185</v>
      </c>
      <c r="Q32" s="8">
        <v>0</v>
      </c>
      <c r="R32" s="8">
        <v>0</v>
      </c>
      <c r="S32" s="8">
        <v>0</v>
      </c>
      <c r="T32" s="6" t="s">
        <v>45</v>
      </c>
      <c r="U32" s="6" t="s">
        <v>45</v>
      </c>
      <c r="V32" s="10">
        <v>0</v>
      </c>
      <c r="W32" s="6" t="s">
        <v>45</v>
      </c>
      <c r="X32" s="6" t="s">
        <v>45</v>
      </c>
      <c r="Y32" s="6" t="s">
        <v>26</v>
      </c>
      <c r="Z32" s="10" t="b">
        <v>0</v>
      </c>
      <c r="AA32" s="10" t="b">
        <v>0</v>
      </c>
      <c r="AB32" s="6" t="s">
        <v>45</v>
      </c>
      <c r="AC32" s="6" t="s">
        <v>45</v>
      </c>
      <c r="AD32" s="6" t="s">
        <v>994</v>
      </c>
      <c r="AE32" s="6" t="s">
        <v>994</v>
      </c>
      <c r="AF32" s="10" t="b">
        <v>0</v>
      </c>
      <c r="AG32" s="28" t="s">
        <v>45</v>
      </c>
    </row>
    <row r="33" spans="1:33" x14ac:dyDescent="0.35">
      <c r="A33" s="5" t="s">
        <v>853</v>
      </c>
      <c r="B33" s="6" t="s">
        <v>2032</v>
      </c>
      <c r="C33" s="6" t="s">
        <v>2005</v>
      </c>
      <c r="D33" s="6" t="s">
        <v>2006</v>
      </c>
      <c r="E33" s="10">
        <v>331</v>
      </c>
      <c r="F33" s="6" t="s">
        <v>978</v>
      </c>
      <c r="G33" s="6" t="s">
        <v>1011</v>
      </c>
      <c r="H33" s="6" t="s">
        <v>977</v>
      </c>
      <c r="I33" s="6" t="s">
        <v>45</v>
      </c>
      <c r="J33" s="8">
        <v>0</v>
      </c>
      <c r="K33" s="11">
        <v>46188.163888888899</v>
      </c>
      <c r="L33" s="11"/>
      <c r="M33" s="27" t="s">
        <v>970</v>
      </c>
      <c r="N33" s="10">
        <v>1</v>
      </c>
      <c r="O33" s="7">
        <v>46187</v>
      </c>
      <c r="P33" s="7">
        <v>46187</v>
      </c>
      <c r="Q33" s="8">
        <v>0</v>
      </c>
      <c r="R33" s="8">
        <v>0</v>
      </c>
      <c r="S33" s="8">
        <v>0</v>
      </c>
      <c r="T33" s="6" t="s">
        <v>45</v>
      </c>
      <c r="U33" s="6" t="s">
        <v>45</v>
      </c>
      <c r="V33" s="10">
        <v>0</v>
      </c>
      <c r="W33" s="6" t="s">
        <v>45</v>
      </c>
      <c r="X33" s="6" t="s">
        <v>45</v>
      </c>
      <c r="Y33" s="6" t="s">
        <v>26</v>
      </c>
      <c r="Z33" s="10" t="b">
        <v>0</v>
      </c>
      <c r="AA33" s="10" t="b">
        <v>0</v>
      </c>
      <c r="AB33" s="6" t="s">
        <v>45</v>
      </c>
      <c r="AC33" s="6" t="s">
        <v>45</v>
      </c>
      <c r="AD33" s="6" t="s">
        <v>996</v>
      </c>
      <c r="AE33" s="6" t="s">
        <v>996</v>
      </c>
      <c r="AF33" s="10" t="b">
        <v>0</v>
      </c>
      <c r="AG33" s="28" t="s">
        <v>45</v>
      </c>
    </row>
    <row r="34" spans="1:33" x14ac:dyDescent="0.35">
      <c r="A34" s="20" t="s">
        <v>853</v>
      </c>
      <c r="B34" s="21" t="s">
        <v>2032</v>
      </c>
      <c r="C34" s="21" t="s">
        <v>2005</v>
      </c>
      <c r="D34" s="21" t="s">
        <v>2006</v>
      </c>
      <c r="E34" s="24">
        <v>332</v>
      </c>
      <c r="F34" s="21" t="s">
        <v>978</v>
      </c>
      <c r="G34" s="21" t="s">
        <v>1012</v>
      </c>
      <c r="H34" s="21" t="s">
        <v>977</v>
      </c>
      <c r="I34" s="21" t="s">
        <v>45</v>
      </c>
      <c r="J34" s="29">
        <v>0</v>
      </c>
      <c r="K34" s="30">
        <v>46189.640277777798</v>
      </c>
      <c r="L34" s="30"/>
      <c r="M34" s="31" t="s">
        <v>970</v>
      </c>
      <c r="N34" s="24">
        <v>1</v>
      </c>
      <c r="O34" s="32">
        <v>46189</v>
      </c>
      <c r="P34" s="32">
        <v>46189</v>
      </c>
      <c r="Q34" s="29">
        <v>0</v>
      </c>
      <c r="R34" s="29">
        <v>0</v>
      </c>
      <c r="S34" s="29">
        <v>0</v>
      </c>
      <c r="T34" s="21" t="s">
        <v>45</v>
      </c>
      <c r="U34" s="21" t="s">
        <v>45</v>
      </c>
      <c r="V34" s="24">
        <v>0</v>
      </c>
      <c r="W34" s="21" t="s">
        <v>45</v>
      </c>
      <c r="X34" s="21" t="s">
        <v>45</v>
      </c>
      <c r="Y34" s="21" t="s">
        <v>26</v>
      </c>
      <c r="Z34" s="24" t="b">
        <v>0</v>
      </c>
      <c r="AA34" s="24" t="b">
        <v>0</v>
      </c>
      <c r="AB34" s="21" t="s">
        <v>45</v>
      </c>
      <c r="AC34" s="21" t="s">
        <v>45</v>
      </c>
      <c r="AD34" s="21" t="s">
        <v>996</v>
      </c>
      <c r="AE34" s="21" t="s">
        <v>996</v>
      </c>
      <c r="AF34" s="24" t="b">
        <v>0</v>
      </c>
      <c r="AG34" s="33" t="s">
        <v>45</v>
      </c>
    </row>
  </sheetData>
  <hyperlinks>
    <hyperlink ref="C1" location="Summary!A1" display="Back to summary" xr:uid="{3CEF3559-AFCC-401C-8200-C3D1605F90BB}"/>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678CC-3DA6-4065-852B-AE78539543D6}">
  <dimension ref="A1:P93"/>
  <sheetViews>
    <sheetView workbookViewId="0"/>
  </sheetViews>
  <sheetFormatPr defaultRowHeight="14.5" x14ac:dyDescent="0.35"/>
  <cols>
    <col min="3" max="3" width="17.08984375" bestFit="1" customWidth="1"/>
    <col min="4" max="4" width="23.36328125" bestFit="1" customWidth="1"/>
    <col min="5" max="5" width="10.08984375" bestFit="1" customWidth="1"/>
  </cols>
  <sheetData>
    <row r="1" spans="1:16" x14ac:dyDescent="0.35">
      <c r="D1" s="49" t="s">
        <v>2102</v>
      </c>
    </row>
    <row r="2" spans="1:16" x14ac:dyDescent="0.35">
      <c r="A2" s="1" t="s">
        <v>1013</v>
      </c>
      <c r="B2" s="2" t="s">
        <v>482</v>
      </c>
      <c r="C2" s="2" t="s">
        <v>4</v>
      </c>
      <c r="D2" s="2" t="s">
        <v>5</v>
      </c>
      <c r="E2" s="2" t="s">
        <v>6</v>
      </c>
      <c r="F2" s="2" t="s">
        <v>1014</v>
      </c>
      <c r="G2" s="2" t="s">
        <v>1015</v>
      </c>
      <c r="H2" s="2" t="s">
        <v>1016</v>
      </c>
      <c r="I2" s="2" t="s">
        <v>1017</v>
      </c>
      <c r="J2" s="2" t="s">
        <v>1018</v>
      </c>
      <c r="K2" s="2" t="s">
        <v>10</v>
      </c>
      <c r="L2" s="2" t="s">
        <v>1019</v>
      </c>
      <c r="M2" s="2" t="s">
        <v>1020</v>
      </c>
      <c r="N2" s="2" t="s">
        <v>1021</v>
      </c>
      <c r="O2" s="2" t="s">
        <v>1022</v>
      </c>
      <c r="P2" s="3" t="s">
        <v>1023</v>
      </c>
    </row>
    <row r="3" spans="1:16" x14ac:dyDescent="0.35">
      <c r="A3" s="5" t="s">
        <v>1024</v>
      </c>
      <c r="B3" s="6" t="s">
        <v>244</v>
      </c>
      <c r="C3" s="6" t="s">
        <v>1025</v>
      </c>
      <c r="D3" s="42" t="s">
        <v>2019</v>
      </c>
      <c r="E3" s="42" t="s">
        <v>2010</v>
      </c>
      <c r="F3" s="6" t="s">
        <v>1026</v>
      </c>
      <c r="G3" s="6" t="s">
        <v>1027</v>
      </c>
      <c r="H3" s="10" t="b">
        <v>1</v>
      </c>
      <c r="I3" s="6" t="s">
        <v>1028</v>
      </c>
      <c r="J3" s="7">
        <v>46179</v>
      </c>
      <c r="K3" s="27" t="s">
        <v>1029</v>
      </c>
      <c r="L3" s="6" t="s">
        <v>1030</v>
      </c>
      <c r="M3" s="6" t="s">
        <v>1031</v>
      </c>
      <c r="N3" s="10" t="b">
        <v>0</v>
      </c>
      <c r="O3" s="7">
        <v>45809</v>
      </c>
      <c r="P3" s="34"/>
    </row>
    <row r="4" spans="1:16" x14ac:dyDescent="0.35">
      <c r="A4" s="5" t="s">
        <v>1032</v>
      </c>
      <c r="B4" s="6" t="s">
        <v>67</v>
      </c>
      <c r="C4" s="6" t="s">
        <v>1033</v>
      </c>
      <c r="D4" s="6" t="s">
        <v>1997</v>
      </c>
      <c r="E4" s="6" t="s">
        <v>1996</v>
      </c>
      <c r="F4" s="6" t="s">
        <v>1034</v>
      </c>
      <c r="G4" s="6" t="s">
        <v>1035</v>
      </c>
      <c r="H4" s="10" t="b">
        <v>1</v>
      </c>
      <c r="I4" s="6" t="s">
        <v>1036</v>
      </c>
      <c r="J4" s="7">
        <v>46093</v>
      </c>
      <c r="K4" s="27" t="s">
        <v>1029</v>
      </c>
      <c r="L4" s="6" t="s">
        <v>1037</v>
      </c>
      <c r="M4" s="6" t="s">
        <v>1031</v>
      </c>
      <c r="N4" s="10" t="b">
        <v>0</v>
      </c>
      <c r="O4" s="7">
        <v>45721</v>
      </c>
      <c r="P4" s="34"/>
    </row>
    <row r="5" spans="1:16" x14ac:dyDescent="0.35">
      <c r="A5" s="5" t="s">
        <v>1038</v>
      </c>
      <c r="B5" s="6" t="s">
        <v>67</v>
      </c>
      <c r="C5" s="6" t="s">
        <v>1033</v>
      </c>
      <c r="D5" s="6" t="s">
        <v>1997</v>
      </c>
      <c r="E5" s="6" t="s">
        <v>1996</v>
      </c>
      <c r="F5" s="6" t="s">
        <v>1039</v>
      </c>
      <c r="G5" s="6" t="s">
        <v>1035</v>
      </c>
      <c r="H5" s="10" t="b">
        <v>1</v>
      </c>
      <c r="I5" s="6" t="s">
        <v>1036</v>
      </c>
      <c r="J5" s="7">
        <v>46117</v>
      </c>
      <c r="K5" s="27" t="s">
        <v>1029</v>
      </c>
      <c r="L5" s="6" t="s">
        <v>1037</v>
      </c>
      <c r="M5" s="6" t="s">
        <v>1031</v>
      </c>
      <c r="N5" s="10" t="b">
        <v>0</v>
      </c>
      <c r="O5" s="7">
        <v>45753</v>
      </c>
      <c r="P5" s="34"/>
    </row>
    <row r="6" spans="1:16" x14ac:dyDescent="0.35">
      <c r="A6" s="5" t="s">
        <v>1040</v>
      </c>
      <c r="B6" s="6" t="s">
        <v>141</v>
      </c>
      <c r="C6" s="6" t="s">
        <v>1041</v>
      </c>
      <c r="D6" s="6" t="s">
        <v>1997</v>
      </c>
      <c r="E6" s="6" t="s">
        <v>1996</v>
      </c>
      <c r="F6" s="6" t="s">
        <v>1042</v>
      </c>
      <c r="G6" s="6" t="s">
        <v>1035</v>
      </c>
      <c r="H6" s="10" t="b">
        <v>1</v>
      </c>
      <c r="I6" s="6" t="s">
        <v>1036</v>
      </c>
      <c r="J6" s="7">
        <v>46173</v>
      </c>
      <c r="K6" s="27" t="s">
        <v>1029</v>
      </c>
      <c r="L6" s="6" t="s">
        <v>1037</v>
      </c>
      <c r="M6" s="6" t="s">
        <v>1043</v>
      </c>
      <c r="N6" s="10" t="b">
        <v>0</v>
      </c>
      <c r="O6" s="7">
        <v>45440</v>
      </c>
      <c r="P6" s="34"/>
    </row>
    <row r="7" spans="1:16" x14ac:dyDescent="0.35">
      <c r="A7" s="5" t="s">
        <v>1040</v>
      </c>
      <c r="B7" s="6" t="s">
        <v>210</v>
      </c>
      <c r="C7" s="6" t="s">
        <v>1044</v>
      </c>
      <c r="D7" s="6" t="s">
        <v>2009</v>
      </c>
      <c r="E7" s="6" t="s">
        <v>2010</v>
      </c>
      <c r="F7" s="6" t="s">
        <v>1042</v>
      </c>
      <c r="G7" s="6" t="s">
        <v>1045</v>
      </c>
      <c r="H7" s="10" t="b">
        <v>1</v>
      </c>
      <c r="I7" s="6" t="s">
        <v>1028</v>
      </c>
      <c r="J7" s="7">
        <v>46179</v>
      </c>
      <c r="K7" s="27" t="s">
        <v>1029</v>
      </c>
      <c r="L7" s="6" t="s">
        <v>1037</v>
      </c>
      <c r="M7" s="6" t="s">
        <v>1046</v>
      </c>
      <c r="N7" s="10" t="b">
        <v>0</v>
      </c>
      <c r="O7" s="7">
        <v>45785</v>
      </c>
      <c r="P7" s="34"/>
    </row>
    <row r="8" spans="1:16" x14ac:dyDescent="0.35">
      <c r="A8" s="5" t="s">
        <v>1047</v>
      </c>
      <c r="B8" s="6" t="s">
        <v>118</v>
      </c>
      <c r="C8" s="6" t="s">
        <v>1048</v>
      </c>
      <c r="D8" s="6" t="s">
        <v>2011</v>
      </c>
      <c r="E8" s="6" t="s">
        <v>1996</v>
      </c>
      <c r="F8" s="6" t="s">
        <v>1049</v>
      </c>
      <c r="G8" s="6" t="s">
        <v>1035</v>
      </c>
      <c r="H8" s="10" t="b">
        <v>1</v>
      </c>
      <c r="I8" s="6" t="s">
        <v>1050</v>
      </c>
      <c r="J8" s="7">
        <v>45443</v>
      </c>
      <c r="K8" s="27" t="s">
        <v>1029</v>
      </c>
      <c r="L8" s="6" t="s">
        <v>1037</v>
      </c>
      <c r="M8" s="6" t="s">
        <v>1051</v>
      </c>
      <c r="N8" s="10" t="b">
        <v>0</v>
      </c>
      <c r="O8" s="7">
        <v>45055</v>
      </c>
      <c r="P8" s="34"/>
    </row>
    <row r="9" spans="1:16" x14ac:dyDescent="0.35">
      <c r="A9" s="5" t="s">
        <v>1047</v>
      </c>
      <c r="B9" s="6" t="s">
        <v>419</v>
      </c>
      <c r="C9" s="6" t="s">
        <v>732</v>
      </c>
      <c r="D9" s="6" t="s">
        <v>2007</v>
      </c>
      <c r="E9" s="6" t="s">
        <v>2006</v>
      </c>
      <c r="F9" s="6" t="s">
        <v>1049</v>
      </c>
      <c r="G9" s="6" t="s">
        <v>1045</v>
      </c>
      <c r="H9" s="10" t="b">
        <v>1</v>
      </c>
      <c r="I9" s="6" t="s">
        <v>1036</v>
      </c>
      <c r="J9" s="7">
        <v>46173</v>
      </c>
      <c r="K9" s="27" t="s">
        <v>1029</v>
      </c>
      <c r="L9" s="6" t="s">
        <v>1037</v>
      </c>
      <c r="M9" s="6" t="s">
        <v>1052</v>
      </c>
      <c r="N9" s="10" t="b">
        <v>0</v>
      </c>
      <c r="O9" s="7">
        <v>45861</v>
      </c>
      <c r="P9" s="34"/>
    </row>
    <row r="10" spans="1:16" x14ac:dyDescent="0.35">
      <c r="A10" s="5" t="s">
        <v>1047</v>
      </c>
      <c r="B10" s="6" t="s">
        <v>280</v>
      </c>
      <c r="C10" s="6" t="s">
        <v>839</v>
      </c>
      <c r="D10" s="6" t="s">
        <v>2005</v>
      </c>
      <c r="E10" s="6" t="s">
        <v>2006</v>
      </c>
      <c r="F10" s="6" t="s">
        <v>1049</v>
      </c>
      <c r="G10" s="6" t="s">
        <v>1045</v>
      </c>
      <c r="H10" s="10" t="b">
        <v>1</v>
      </c>
      <c r="I10" s="6" t="s">
        <v>1036</v>
      </c>
      <c r="J10" s="7">
        <v>46173</v>
      </c>
      <c r="K10" s="27" t="s">
        <v>1029</v>
      </c>
      <c r="L10" s="6" t="s">
        <v>1037</v>
      </c>
      <c r="M10" s="6" t="s">
        <v>1053</v>
      </c>
      <c r="N10" s="10" t="b">
        <v>0</v>
      </c>
      <c r="O10" s="7">
        <v>45728</v>
      </c>
      <c r="P10" s="34"/>
    </row>
    <row r="11" spans="1:16" x14ac:dyDescent="0.35">
      <c r="A11" s="5" t="s">
        <v>1054</v>
      </c>
      <c r="B11" s="6" t="s">
        <v>113</v>
      </c>
      <c r="C11" s="6" t="s">
        <v>826</v>
      </c>
      <c r="D11" s="6" t="s">
        <v>2007</v>
      </c>
      <c r="E11" s="6" t="s">
        <v>2006</v>
      </c>
      <c r="F11" s="6" t="s">
        <v>1055</v>
      </c>
      <c r="G11" s="6" t="s">
        <v>1056</v>
      </c>
      <c r="H11" s="10" t="b">
        <v>1</v>
      </c>
      <c r="I11" s="6" t="s">
        <v>1036</v>
      </c>
      <c r="J11" s="7">
        <v>46089</v>
      </c>
      <c r="K11" s="27" t="s">
        <v>1029</v>
      </c>
      <c r="L11" s="6" t="s">
        <v>1037</v>
      </c>
      <c r="M11" s="6" t="s">
        <v>1031</v>
      </c>
      <c r="N11" s="10" t="b">
        <v>0</v>
      </c>
      <c r="O11" s="7">
        <v>45847</v>
      </c>
      <c r="P11" s="34"/>
    </row>
    <row r="12" spans="1:16" x14ac:dyDescent="0.35">
      <c r="A12" s="5" t="s">
        <v>1054</v>
      </c>
      <c r="B12" s="6" t="s">
        <v>419</v>
      </c>
      <c r="C12" s="6" t="s">
        <v>732</v>
      </c>
      <c r="D12" s="6" t="s">
        <v>2007</v>
      </c>
      <c r="E12" s="6" t="s">
        <v>2006</v>
      </c>
      <c r="F12" s="6" t="s">
        <v>1055</v>
      </c>
      <c r="G12" s="6" t="s">
        <v>1045</v>
      </c>
      <c r="H12" s="10" t="b">
        <v>1</v>
      </c>
      <c r="I12" s="6" t="s">
        <v>1036</v>
      </c>
      <c r="J12" s="7">
        <v>46156</v>
      </c>
      <c r="K12" s="27" t="s">
        <v>1029</v>
      </c>
      <c r="L12" s="6" t="s">
        <v>1037</v>
      </c>
      <c r="M12" s="6" t="s">
        <v>1057</v>
      </c>
      <c r="N12" s="10" t="b">
        <v>0</v>
      </c>
      <c r="O12" s="7">
        <v>45792</v>
      </c>
      <c r="P12" s="34"/>
    </row>
    <row r="13" spans="1:16" x14ac:dyDescent="0.35">
      <c r="A13" s="5" t="s">
        <v>1054</v>
      </c>
      <c r="B13" s="6" t="s">
        <v>265</v>
      </c>
      <c r="C13" s="6" t="s">
        <v>817</v>
      </c>
      <c r="D13" s="6" t="s">
        <v>2007</v>
      </c>
      <c r="E13" s="6" t="s">
        <v>2006</v>
      </c>
      <c r="F13" s="6" t="s">
        <v>1055</v>
      </c>
      <c r="G13" s="6" t="s">
        <v>1045</v>
      </c>
      <c r="H13" s="10" t="b">
        <v>1</v>
      </c>
      <c r="I13" s="6" t="s">
        <v>1036</v>
      </c>
      <c r="J13" s="7">
        <v>46185</v>
      </c>
      <c r="K13" s="27" t="s">
        <v>1029</v>
      </c>
      <c r="L13" s="6" t="s">
        <v>1037</v>
      </c>
      <c r="M13" s="6" t="s">
        <v>1031</v>
      </c>
      <c r="N13" s="10" t="b">
        <v>0</v>
      </c>
      <c r="O13" s="7">
        <v>46034</v>
      </c>
      <c r="P13" s="34"/>
    </row>
    <row r="14" spans="1:16" x14ac:dyDescent="0.35">
      <c r="A14" s="5" t="s">
        <v>1054</v>
      </c>
      <c r="B14" s="6" t="s">
        <v>853</v>
      </c>
      <c r="C14" s="6" t="s">
        <v>854</v>
      </c>
      <c r="D14" s="6" t="s">
        <v>2005</v>
      </c>
      <c r="E14" s="6" t="s">
        <v>2006</v>
      </c>
      <c r="F14" s="6" t="s">
        <v>1055</v>
      </c>
      <c r="G14" s="6" t="s">
        <v>1045</v>
      </c>
      <c r="H14" s="10" t="b">
        <v>1</v>
      </c>
      <c r="I14" s="6" t="s">
        <v>1036</v>
      </c>
      <c r="J14" s="7">
        <v>46152</v>
      </c>
      <c r="K14" s="27" t="s">
        <v>1029</v>
      </c>
      <c r="L14" s="6" t="s">
        <v>1037</v>
      </c>
      <c r="M14" s="6" t="s">
        <v>1058</v>
      </c>
      <c r="N14" s="10" t="b">
        <v>0</v>
      </c>
      <c r="O14" s="7">
        <v>45971</v>
      </c>
      <c r="P14" s="34"/>
    </row>
    <row r="15" spans="1:16" x14ac:dyDescent="0.35">
      <c r="A15" s="5" t="s">
        <v>1054</v>
      </c>
      <c r="B15" s="6" t="s">
        <v>544</v>
      </c>
      <c r="C15" s="6" t="s">
        <v>1059</v>
      </c>
      <c r="D15" s="6" t="s">
        <v>2005</v>
      </c>
      <c r="E15" s="6" t="s">
        <v>2006</v>
      </c>
      <c r="F15" s="6" t="s">
        <v>1055</v>
      </c>
      <c r="G15" s="6" t="s">
        <v>1045</v>
      </c>
      <c r="H15" s="10" t="b">
        <v>1</v>
      </c>
      <c r="I15" s="6" t="s">
        <v>1036</v>
      </c>
      <c r="J15" s="7">
        <v>45958</v>
      </c>
      <c r="K15" s="27" t="s">
        <v>1029</v>
      </c>
      <c r="L15" s="6" t="s">
        <v>1037</v>
      </c>
      <c r="M15" s="6" t="s">
        <v>1060</v>
      </c>
      <c r="N15" s="10" t="b">
        <v>0</v>
      </c>
      <c r="O15" s="7">
        <v>45775</v>
      </c>
      <c r="P15" s="34"/>
    </row>
    <row r="16" spans="1:16" x14ac:dyDescent="0.35">
      <c r="A16" s="5" t="s">
        <v>1061</v>
      </c>
      <c r="B16" s="6" t="s">
        <v>419</v>
      </c>
      <c r="C16" s="6" t="s">
        <v>732</v>
      </c>
      <c r="D16" s="6" t="s">
        <v>2007</v>
      </c>
      <c r="E16" s="6" t="s">
        <v>2006</v>
      </c>
      <c r="F16" s="6" t="s">
        <v>1062</v>
      </c>
      <c r="G16" s="6" t="s">
        <v>1045</v>
      </c>
      <c r="H16" s="10" t="b">
        <v>1</v>
      </c>
      <c r="I16" s="6" t="s">
        <v>1028</v>
      </c>
      <c r="J16" s="7">
        <v>46156</v>
      </c>
      <c r="K16" s="27" t="s">
        <v>1029</v>
      </c>
      <c r="L16" s="6" t="s">
        <v>1037</v>
      </c>
      <c r="M16" s="6" t="s">
        <v>1063</v>
      </c>
      <c r="N16" s="10" t="b">
        <v>0</v>
      </c>
      <c r="O16" s="7">
        <v>45792</v>
      </c>
      <c r="P16" s="34"/>
    </row>
    <row r="17" spans="1:16" x14ac:dyDescent="0.35">
      <c r="A17" s="5" t="s">
        <v>1064</v>
      </c>
      <c r="B17" s="6" t="s">
        <v>1065</v>
      </c>
      <c r="C17" s="6" t="s">
        <v>1066</v>
      </c>
      <c r="D17" s="6" t="s">
        <v>2015</v>
      </c>
      <c r="E17" s="6" t="s">
        <v>2001</v>
      </c>
      <c r="F17" s="6" t="s">
        <v>1067</v>
      </c>
      <c r="G17" s="6" t="s">
        <v>1035</v>
      </c>
      <c r="H17" s="10" t="b">
        <v>1</v>
      </c>
      <c r="I17" s="6" t="s">
        <v>1036</v>
      </c>
      <c r="J17" s="7">
        <v>46185</v>
      </c>
      <c r="K17" s="27" t="s">
        <v>1029</v>
      </c>
      <c r="L17" s="6" t="s">
        <v>1037</v>
      </c>
      <c r="M17" s="6" t="s">
        <v>1068</v>
      </c>
      <c r="N17" s="10" t="b">
        <v>0</v>
      </c>
      <c r="O17" s="7">
        <v>45821</v>
      </c>
      <c r="P17" s="34"/>
    </row>
    <row r="18" spans="1:16" x14ac:dyDescent="0.35">
      <c r="A18" s="5" t="s">
        <v>1064</v>
      </c>
      <c r="B18" s="6" t="s">
        <v>141</v>
      </c>
      <c r="C18" s="6" t="s">
        <v>1041</v>
      </c>
      <c r="D18" s="6" t="s">
        <v>1997</v>
      </c>
      <c r="E18" s="6" t="s">
        <v>1996</v>
      </c>
      <c r="F18" s="6" t="s">
        <v>1067</v>
      </c>
      <c r="G18" s="6" t="s">
        <v>1035</v>
      </c>
      <c r="H18" s="10" t="b">
        <v>1</v>
      </c>
      <c r="I18" s="6" t="s">
        <v>1036</v>
      </c>
      <c r="J18" s="7">
        <v>46187</v>
      </c>
      <c r="K18" s="27" t="s">
        <v>1029</v>
      </c>
      <c r="L18" s="6" t="s">
        <v>1037</v>
      </c>
      <c r="M18" s="6" t="s">
        <v>1031</v>
      </c>
      <c r="N18" s="10" t="b">
        <v>0</v>
      </c>
      <c r="O18" s="7">
        <v>45823</v>
      </c>
      <c r="P18" s="34"/>
    </row>
    <row r="19" spans="1:16" x14ac:dyDescent="0.35">
      <c r="A19" s="5" t="s">
        <v>1064</v>
      </c>
      <c r="B19" s="6" t="s">
        <v>1069</v>
      </c>
      <c r="C19" s="6" t="s">
        <v>1070</v>
      </c>
      <c r="D19" s="6" t="s">
        <v>2023</v>
      </c>
      <c r="E19" s="6" t="s">
        <v>2004</v>
      </c>
      <c r="F19" s="6" t="s">
        <v>1067</v>
      </c>
      <c r="G19" s="6" t="s">
        <v>1035</v>
      </c>
      <c r="H19" s="10" t="b">
        <v>1</v>
      </c>
      <c r="I19" s="6" t="s">
        <v>1036</v>
      </c>
      <c r="J19" s="7">
        <v>46184</v>
      </c>
      <c r="K19" s="27" t="s">
        <v>1029</v>
      </c>
      <c r="L19" s="6" t="s">
        <v>1037</v>
      </c>
      <c r="M19" s="6" t="s">
        <v>1031</v>
      </c>
      <c r="N19" s="10" t="b">
        <v>0</v>
      </c>
      <c r="O19" s="7">
        <v>45820</v>
      </c>
      <c r="P19" s="34"/>
    </row>
    <row r="20" spans="1:16" x14ac:dyDescent="0.35">
      <c r="A20" s="5" t="s">
        <v>1071</v>
      </c>
      <c r="B20" s="6" t="s">
        <v>1065</v>
      </c>
      <c r="C20" s="6" t="s">
        <v>1066</v>
      </c>
      <c r="D20" s="6" t="s">
        <v>2015</v>
      </c>
      <c r="E20" s="6" t="s">
        <v>2001</v>
      </c>
      <c r="F20" s="6" t="s">
        <v>1072</v>
      </c>
      <c r="G20" s="6" t="s">
        <v>1035</v>
      </c>
      <c r="H20" s="10" t="b">
        <v>1</v>
      </c>
      <c r="I20" s="6" t="s">
        <v>1036</v>
      </c>
      <c r="J20" s="7">
        <v>46185</v>
      </c>
      <c r="K20" s="27" t="s">
        <v>1029</v>
      </c>
      <c r="L20" s="6" t="s">
        <v>1037</v>
      </c>
      <c r="M20" s="6" t="s">
        <v>1073</v>
      </c>
      <c r="N20" s="10" t="b">
        <v>0</v>
      </c>
      <c r="O20" s="7">
        <v>45821</v>
      </c>
      <c r="P20" s="34"/>
    </row>
    <row r="21" spans="1:16" x14ac:dyDescent="0.35">
      <c r="A21" s="5" t="s">
        <v>1071</v>
      </c>
      <c r="B21" s="6" t="s">
        <v>141</v>
      </c>
      <c r="C21" s="6" t="s">
        <v>1041</v>
      </c>
      <c r="D21" s="6" t="s">
        <v>1997</v>
      </c>
      <c r="E21" s="6" t="s">
        <v>1996</v>
      </c>
      <c r="F21" s="6" t="s">
        <v>1072</v>
      </c>
      <c r="G21" s="6" t="s">
        <v>1035</v>
      </c>
      <c r="H21" s="10" t="b">
        <v>1</v>
      </c>
      <c r="I21" s="6" t="s">
        <v>1036</v>
      </c>
      <c r="J21" s="7">
        <v>46187</v>
      </c>
      <c r="K21" s="27" t="s">
        <v>1029</v>
      </c>
      <c r="L21" s="6" t="s">
        <v>1037</v>
      </c>
      <c r="M21" s="6" t="s">
        <v>1031</v>
      </c>
      <c r="N21" s="10" t="b">
        <v>0</v>
      </c>
      <c r="O21" s="7">
        <v>45823</v>
      </c>
      <c r="P21" s="34"/>
    </row>
    <row r="22" spans="1:16" x14ac:dyDescent="0.35">
      <c r="A22" s="5" t="s">
        <v>1071</v>
      </c>
      <c r="B22" s="6" t="s">
        <v>1069</v>
      </c>
      <c r="C22" s="6" t="s">
        <v>1070</v>
      </c>
      <c r="D22" s="6" t="s">
        <v>2023</v>
      </c>
      <c r="E22" s="6" t="s">
        <v>2004</v>
      </c>
      <c r="F22" s="6" t="s">
        <v>1072</v>
      </c>
      <c r="G22" s="6" t="s">
        <v>1035</v>
      </c>
      <c r="H22" s="10" t="b">
        <v>1</v>
      </c>
      <c r="I22" s="6" t="s">
        <v>1036</v>
      </c>
      <c r="J22" s="7">
        <v>46184</v>
      </c>
      <c r="K22" s="27" t="s">
        <v>1029</v>
      </c>
      <c r="L22" s="6" t="s">
        <v>1037</v>
      </c>
      <c r="M22" s="6" t="s">
        <v>1031</v>
      </c>
      <c r="N22" s="10" t="b">
        <v>0</v>
      </c>
      <c r="O22" s="7">
        <v>45820</v>
      </c>
      <c r="P22" s="34"/>
    </row>
    <row r="23" spans="1:16" x14ac:dyDescent="0.35">
      <c r="A23" s="5" t="s">
        <v>1074</v>
      </c>
      <c r="B23" s="6" t="s">
        <v>1065</v>
      </c>
      <c r="C23" s="6" t="s">
        <v>1066</v>
      </c>
      <c r="D23" s="6" t="s">
        <v>2015</v>
      </c>
      <c r="E23" s="6" t="s">
        <v>2001</v>
      </c>
      <c r="F23" s="6" t="s">
        <v>1075</v>
      </c>
      <c r="G23" s="6" t="s">
        <v>1035</v>
      </c>
      <c r="H23" s="10" t="b">
        <v>1</v>
      </c>
      <c r="I23" s="6" t="s">
        <v>1036</v>
      </c>
      <c r="J23" s="7">
        <v>46185</v>
      </c>
      <c r="K23" s="27" t="s">
        <v>1029</v>
      </c>
      <c r="L23" s="6" t="s">
        <v>1037</v>
      </c>
      <c r="M23" s="6" t="s">
        <v>1076</v>
      </c>
      <c r="N23" s="10" t="b">
        <v>0</v>
      </c>
      <c r="O23" s="7">
        <v>45821</v>
      </c>
      <c r="P23" s="34"/>
    </row>
    <row r="24" spans="1:16" x14ac:dyDescent="0.35">
      <c r="A24" s="5" t="s">
        <v>1074</v>
      </c>
      <c r="B24" s="6" t="s">
        <v>141</v>
      </c>
      <c r="C24" s="6" t="s">
        <v>1041</v>
      </c>
      <c r="D24" s="6" t="s">
        <v>1997</v>
      </c>
      <c r="E24" s="6" t="s">
        <v>1996</v>
      </c>
      <c r="F24" s="6" t="s">
        <v>1075</v>
      </c>
      <c r="G24" s="6" t="s">
        <v>1035</v>
      </c>
      <c r="H24" s="10" t="b">
        <v>1</v>
      </c>
      <c r="I24" s="6" t="s">
        <v>1036</v>
      </c>
      <c r="J24" s="7">
        <v>46187</v>
      </c>
      <c r="K24" s="27" t="s">
        <v>1029</v>
      </c>
      <c r="L24" s="6" t="s">
        <v>1037</v>
      </c>
      <c r="M24" s="6" t="s">
        <v>1031</v>
      </c>
      <c r="N24" s="10" t="b">
        <v>0</v>
      </c>
      <c r="O24" s="7">
        <v>45823</v>
      </c>
      <c r="P24" s="34"/>
    </row>
    <row r="25" spans="1:16" x14ac:dyDescent="0.35">
      <c r="A25" s="5" t="s">
        <v>1074</v>
      </c>
      <c r="B25" s="6" t="s">
        <v>1069</v>
      </c>
      <c r="C25" s="6" t="s">
        <v>1070</v>
      </c>
      <c r="D25" s="6" t="s">
        <v>2023</v>
      </c>
      <c r="E25" s="6" t="s">
        <v>2004</v>
      </c>
      <c r="F25" s="6" t="s">
        <v>1075</v>
      </c>
      <c r="G25" s="6" t="s">
        <v>1035</v>
      </c>
      <c r="H25" s="10" t="b">
        <v>1</v>
      </c>
      <c r="I25" s="6" t="s">
        <v>1036</v>
      </c>
      <c r="J25" s="7">
        <v>46184</v>
      </c>
      <c r="K25" s="27" t="s">
        <v>1029</v>
      </c>
      <c r="L25" s="6" t="s">
        <v>1037</v>
      </c>
      <c r="M25" s="6" t="s">
        <v>1031</v>
      </c>
      <c r="N25" s="10" t="b">
        <v>0</v>
      </c>
      <c r="O25" s="7">
        <v>45820</v>
      </c>
      <c r="P25" s="34"/>
    </row>
    <row r="26" spans="1:16" x14ac:dyDescent="0.35">
      <c r="A26" s="5" t="s">
        <v>1074</v>
      </c>
      <c r="B26" s="6" t="s">
        <v>280</v>
      </c>
      <c r="C26" s="6" t="s">
        <v>839</v>
      </c>
      <c r="D26" s="6" t="s">
        <v>2005</v>
      </c>
      <c r="E26" s="6" t="s">
        <v>2006</v>
      </c>
      <c r="F26" s="6" t="s">
        <v>1075</v>
      </c>
      <c r="G26" s="6" t="s">
        <v>1035</v>
      </c>
      <c r="H26" s="10" t="b">
        <v>1</v>
      </c>
      <c r="I26" s="6" t="s">
        <v>1036</v>
      </c>
      <c r="J26" s="7">
        <v>46128</v>
      </c>
      <c r="K26" s="27" t="s">
        <v>1029</v>
      </c>
      <c r="L26" s="6" t="s">
        <v>1037</v>
      </c>
      <c r="M26" s="6" t="s">
        <v>1077</v>
      </c>
      <c r="N26" s="10" t="b">
        <v>0</v>
      </c>
      <c r="O26" s="7">
        <v>45764</v>
      </c>
      <c r="P26" s="34"/>
    </row>
    <row r="27" spans="1:16" x14ac:dyDescent="0.35">
      <c r="A27" s="5" t="s">
        <v>1078</v>
      </c>
      <c r="B27" s="6" t="s">
        <v>1065</v>
      </c>
      <c r="C27" s="6" t="s">
        <v>1066</v>
      </c>
      <c r="D27" s="6" t="s">
        <v>2015</v>
      </c>
      <c r="E27" s="6" t="s">
        <v>2001</v>
      </c>
      <c r="F27" s="6" t="s">
        <v>1079</v>
      </c>
      <c r="G27" s="6" t="s">
        <v>1035</v>
      </c>
      <c r="H27" s="10" t="b">
        <v>1</v>
      </c>
      <c r="I27" s="6" t="s">
        <v>1036</v>
      </c>
      <c r="J27" s="7">
        <v>46185</v>
      </c>
      <c r="K27" s="27" t="s">
        <v>1029</v>
      </c>
      <c r="L27" s="6" t="s">
        <v>1037</v>
      </c>
      <c r="M27" s="6" t="s">
        <v>1031</v>
      </c>
      <c r="N27" s="10" t="b">
        <v>0</v>
      </c>
      <c r="O27" s="7">
        <v>45821</v>
      </c>
      <c r="P27" s="34"/>
    </row>
    <row r="28" spans="1:16" x14ac:dyDescent="0.35">
      <c r="A28" s="5" t="s">
        <v>1078</v>
      </c>
      <c r="B28" s="6" t="s">
        <v>67</v>
      </c>
      <c r="C28" s="6" t="s">
        <v>1033</v>
      </c>
      <c r="D28" s="6" t="s">
        <v>1997</v>
      </c>
      <c r="E28" s="6" t="s">
        <v>1996</v>
      </c>
      <c r="F28" s="6" t="s">
        <v>1079</v>
      </c>
      <c r="G28" s="6" t="s">
        <v>1035</v>
      </c>
      <c r="H28" s="10" t="b">
        <v>1</v>
      </c>
      <c r="I28" s="6" t="s">
        <v>1036</v>
      </c>
      <c r="J28" s="7">
        <v>46117</v>
      </c>
      <c r="K28" s="27" t="s">
        <v>1029</v>
      </c>
      <c r="L28" s="6" t="s">
        <v>1037</v>
      </c>
      <c r="M28" s="6" t="s">
        <v>1080</v>
      </c>
      <c r="N28" s="10" t="b">
        <v>0</v>
      </c>
      <c r="O28" s="7">
        <v>45753</v>
      </c>
      <c r="P28" s="34"/>
    </row>
    <row r="29" spans="1:16" x14ac:dyDescent="0.35">
      <c r="A29" s="5" t="s">
        <v>1078</v>
      </c>
      <c r="B29" s="6" t="s">
        <v>1069</v>
      </c>
      <c r="C29" s="6" t="s">
        <v>1070</v>
      </c>
      <c r="D29" s="6" t="s">
        <v>2023</v>
      </c>
      <c r="E29" s="6" t="s">
        <v>2004</v>
      </c>
      <c r="F29" s="6" t="s">
        <v>1079</v>
      </c>
      <c r="G29" s="6" t="s">
        <v>1035</v>
      </c>
      <c r="H29" s="10" t="b">
        <v>1</v>
      </c>
      <c r="I29" s="6" t="s">
        <v>1036</v>
      </c>
      <c r="J29" s="7">
        <v>46184</v>
      </c>
      <c r="K29" s="27" t="s">
        <v>1029</v>
      </c>
      <c r="L29" s="6" t="s">
        <v>1037</v>
      </c>
      <c r="M29" s="6" t="s">
        <v>1081</v>
      </c>
      <c r="N29" s="10" t="b">
        <v>0</v>
      </c>
      <c r="O29" s="7">
        <v>45820</v>
      </c>
      <c r="P29" s="34"/>
    </row>
    <row r="30" spans="1:16" x14ac:dyDescent="0.35">
      <c r="A30" s="5" t="s">
        <v>1078</v>
      </c>
      <c r="B30" s="6" t="s">
        <v>280</v>
      </c>
      <c r="C30" s="6" t="s">
        <v>839</v>
      </c>
      <c r="D30" s="6" t="s">
        <v>2005</v>
      </c>
      <c r="E30" s="6" t="s">
        <v>2006</v>
      </c>
      <c r="F30" s="6" t="s">
        <v>1079</v>
      </c>
      <c r="G30" s="6" t="s">
        <v>1035</v>
      </c>
      <c r="H30" s="10" t="b">
        <v>1</v>
      </c>
      <c r="I30" s="6" t="s">
        <v>1036</v>
      </c>
      <c r="J30" s="7">
        <v>46128</v>
      </c>
      <c r="K30" s="27" t="s">
        <v>1029</v>
      </c>
      <c r="L30" s="6" t="s">
        <v>1037</v>
      </c>
      <c r="M30" s="6" t="s">
        <v>1082</v>
      </c>
      <c r="N30" s="10" t="b">
        <v>0</v>
      </c>
      <c r="O30" s="7">
        <v>45764</v>
      </c>
      <c r="P30" s="34"/>
    </row>
    <row r="31" spans="1:16" x14ac:dyDescent="0.35">
      <c r="A31" s="5" t="s">
        <v>1083</v>
      </c>
      <c r="B31" s="6" t="s">
        <v>796</v>
      </c>
      <c r="C31" s="6" t="s">
        <v>797</v>
      </c>
      <c r="D31" s="6" t="s">
        <v>2011</v>
      </c>
      <c r="E31" s="6" t="s">
        <v>1996</v>
      </c>
      <c r="F31" s="6" t="s">
        <v>1084</v>
      </c>
      <c r="G31" s="6" t="s">
        <v>1027</v>
      </c>
      <c r="H31" s="10" t="b">
        <v>1</v>
      </c>
      <c r="I31" s="6" t="s">
        <v>1028</v>
      </c>
      <c r="J31" s="7">
        <v>45413</v>
      </c>
      <c r="K31" s="27" t="s">
        <v>1029</v>
      </c>
      <c r="L31" s="6" t="s">
        <v>1037</v>
      </c>
      <c r="M31" s="6" t="s">
        <v>1031</v>
      </c>
      <c r="N31" s="10" t="b">
        <v>0</v>
      </c>
      <c r="O31" s="7">
        <v>45048</v>
      </c>
      <c r="P31" s="34"/>
    </row>
    <row r="32" spans="1:16" x14ac:dyDescent="0.35">
      <c r="A32" s="5" t="s">
        <v>1083</v>
      </c>
      <c r="B32" s="6" t="s">
        <v>419</v>
      </c>
      <c r="C32" s="6" t="s">
        <v>732</v>
      </c>
      <c r="D32" s="6" t="s">
        <v>2007</v>
      </c>
      <c r="E32" s="6" t="s">
        <v>2006</v>
      </c>
      <c r="F32" s="6" t="s">
        <v>1084</v>
      </c>
      <c r="G32" s="6" t="s">
        <v>1035</v>
      </c>
      <c r="H32" s="10" t="b">
        <v>1</v>
      </c>
      <c r="I32" s="6" t="s">
        <v>1036</v>
      </c>
      <c r="J32" s="7">
        <v>46173</v>
      </c>
      <c r="K32" s="27" t="s">
        <v>1029</v>
      </c>
      <c r="L32" s="6" t="s">
        <v>1037</v>
      </c>
      <c r="M32" s="6" t="s">
        <v>1085</v>
      </c>
      <c r="N32" s="10" t="b">
        <v>0</v>
      </c>
      <c r="O32" s="7">
        <v>45861</v>
      </c>
      <c r="P32" s="34"/>
    </row>
    <row r="33" spans="1:16" x14ac:dyDescent="0.35">
      <c r="A33" s="5" t="s">
        <v>1086</v>
      </c>
      <c r="B33" s="6" t="s">
        <v>796</v>
      </c>
      <c r="C33" s="6" t="s">
        <v>797</v>
      </c>
      <c r="D33" s="6" t="s">
        <v>2011</v>
      </c>
      <c r="E33" s="6" t="s">
        <v>1996</v>
      </c>
      <c r="F33" s="6" t="s">
        <v>1087</v>
      </c>
      <c r="G33" s="6" t="s">
        <v>1088</v>
      </c>
      <c r="H33" s="10" t="b">
        <v>1</v>
      </c>
      <c r="I33" s="6" t="s">
        <v>1036</v>
      </c>
      <c r="J33" s="7">
        <v>46174</v>
      </c>
      <c r="K33" s="27" t="s">
        <v>1029</v>
      </c>
      <c r="L33" s="6" t="s">
        <v>1037</v>
      </c>
      <c r="M33" s="6" t="s">
        <v>1031</v>
      </c>
      <c r="N33" s="10" t="b">
        <v>0</v>
      </c>
      <c r="O33" s="7">
        <v>45531</v>
      </c>
      <c r="P33" s="34"/>
    </row>
    <row r="34" spans="1:16" x14ac:dyDescent="0.35">
      <c r="A34" s="5" t="s">
        <v>1089</v>
      </c>
      <c r="B34" s="6" t="s">
        <v>1065</v>
      </c>
      <c r="C34" s="6" t="s">
        <v>1066</v>
      </c>
      <c r="D34" s="6" t="s">
        <v>2015</v>
      </c>
      <c r="E34" s="6" t="s">
        <v>2001</v>
      </c>
      <c r="F34" s="6" t="s">
        <v>1090</v>
      </c>
      <c r="G34" s="6" t="s">
        <v>1091</v>
      </c>
      <c r="H34" s="10" t="b">
        <v>1</v>
      </c>
      <c r="I34" s="6" t="s">
        <v>1036</v>
      </c>
      <c r="J34" s="7">
        <v>46189</v>
      </c>
      <c r="K34" s="27" t="s">
        <v>1029</v>
      </c>
      <c r="L34" s="6" t="s">
        <v>1037</v>
      </c>
      <c r="M34" s="6" t="s">
        <v>1031</v>
      </c>
      <c r="N34" s="10" t="b">
        <v>0</v>
      </c>
      <c r="O34" s="7">
        <v>45825</v>
      </c>
      <c r="P34" s="34"/>
    </row>
    <row r="35" spans="1:16" x14ac:dyDescent="0.35">
      <c r="A35" s="5" t="s">
        <v>1092</v>
      </c>
      <c r="B35" s="6" t="s">
        <v>1065</v>
      </c>
      <c r="C35" s="6" t="s">
        <v>1066</v>
      </c>
      <c r="D35" s="6" t="s">
        <v>2015</v>
      </c>
      <c r="E35" s="6" t="s">
        <v>2001</v>
      </c>
      <c r="F35" s="6" t="s">
        <v>1093</v>
      </c>
      <c r="G35" s="6" t="s">
        <v>1091</v>
      </c>
      <c r="H35" s="10" t="b">
        <v>1</v>
      </c>
      <c r="I35" s="6" t="s">
        <v>1036</v>
      </c>
      <c r="J35" s="7">
        <v>46189</v>
      </c>
      <c r="K35" s="27" t="s">
        <v>1029</v>
      </c>
      <c r="L35" s="6" t="s">
        <v>1037</v>
      </c>
      <c r="M35" s="6" t="s">
        <v>1031</v>
      </c>
      <c r="N35" s="10" t="b">
        <v>0</v>
      </c>
      <c r="O35" s="7">
        <v>45825</v>
      </c>
      <c r="P35" s="34"/>
    </row>
    <row r="36" spans="1:16" x14ac:dyDescent="0.35">
      <c r="A36" s="5" t="s">
        <v>1094</v>
      </c>
      <c r="B36" s="6" t="s">
        <v>1065</v>
      </c>
      <c r="C36" s="6" t="s">
        <v>1066</v>
      </c>
      <c r="D36" s="6" t="s">
        <v>2015</v>
      </c>
      <c r="E36" s="6" t="s">
        <v>2001</v>
      </c>
      <c r="F36" s="6" t="s">
        <v>1095</v>
      </c>
      <c r="G36" s="6" t="s">
        <v>1091</v>
      </c>
      <c r="H36" s="10" t="b">
        <v>1</v>
      </c>
      <c r="I36" s="6" t="s">
        <v>1036</v>
      </c>
      <c r="J36" s="7">
        <v>46185</v>
      </c>
      <c r="K36" s="27" t="s">
        <v>1029</v>
      </c>
      <c r="L36" s="6" t="s">
        <v>1037</v>
      </c>
      <c r="M36" s="6" t="s">
        <v>1031</v>
      </c>
      <c r="N36" s="10" t="b">
        <v>0</v>
      </c>
      <c r="O36" s="7">
        <v>45821</v>
      </c>
      <c r="P36" s="34"/>
    </row>
    <row r="37" spans="1:16" x14ac:dyDescent="0.35">
      <c r="A37" s="5" t="s">
        <v>1094</v>
      </c>
      <c r="B37" s="6" t="s">
        <v>1069</v>
      </c>
      <c r="C37" s="6" t="s">
        <v>1070</v>
      </c>
      <c r="D37" s="6" t="s">
        <v>2023</v>
      </c>
      <c r="E37" s="6" t="s">
        <v>2004</v>
      </c>
      <c r="F37" s="6" t="s">
        <v>1095</v>
      </c>
      <c r="G37" s="6" t="s">
        <v>1091</v>
      </c>
      <c r="H37" s="10" t="b">
        <v>1</v>
      </c>
      <c r="I37" s="6" t="s">
        <v>1028</v>
      </c>
      <c r="J37" s="7">
        <v>46186</v>
      </c>
      <c r="K37" s="27" t="s">
        <v>1029</v>
      </c>
      <c r="L37" s="6" t="s">
        <v>1037</v>
      </c>
      <c r="M37" s="6" t="s">
        <v>1031</v>
      </c>
      <c r="N37" s="10" t="b">
        <v>0</v>
      </c>
      <c r="O37" s="7">
        <v>45822</v>
      </c>
      <c r="P37" s="34"/>
    </row>
    <row r="38" spans="1:16" x14ac:dyDescent="0.35">
      <c r="A38" s="5" t="s">
        <v>1096</v>
      </c>
      <c r="B38" s="6" t="s">
        <v>1065</v>
      </c>
      <c r="C38" s="6" t="s">
        <v>1066</v>
      </c>
      <c r="D38" s="6" t="s">
        <v>2015</v>
      </c>
      <c r="E38" s="6" t="s">
        <v>2001</v>
      </c>
      <c r="F38" s="6" t="s">
        <v>1097</v>
      </c>
      <c r="G38" s="6" t="s">
        <v>1091</v>
      </c>
      <c r="H38" s="10" t="b">
        <v>1</v>
      </c>
      <c r="I38" s="6" t="s">
        <v>1036</v>
      </c>
      <c r="J38" s="7">
        <v>46185</v>
      </c>
      <c r="K38" s="27" t="s">
        <v>1029</v>
      </c>
      <c r="L38" s="6" t="s">
        <v>1037</v>
      </c>
      <c r="M38" s="6" t="s">
        <v>1031</v>
      </c>
      <c r="N38" s="10" t="b">
        <v>0</v>
      </c>
      <c r="O38" s="7">
        <v>45821</v>
      </c>
      <c r="P38" s="34"/>
    </row>
    <row r="39" spans="1:16" x14ac:dyDescent="0.35">
      <c r="A39" s="5" t="s">
        <v>1096</v>
      </c>
      <c r="B39" s="6" t="s">
        <v>1069</v>
      </c>
      <c r="C39" s="6" t="s">
        <v>1070</v>
      </c>
      <c r="D39" s="6" t="s">
        <v>2023</v>
      </c>
      <c r="E39" s="6" t="s">
        <v>2004</v>
      </c>
      <c r="F39" s="6" t="s">
        <v>1097</v>
      </c>
      <c r="G39" s="6" t="s">
        <v>1091</v>
      </c>
      <c r="H39" s="10" t="b">
        <v>1</v>
      </c>
      <c r="I39" s="6" t="s">
        <v>1028</v>
      </c>
      <c r="J39" s="7">
        <v>46186</v>
      </c>
      <c r="K39" s="27" t="s">
        <v>1029</v>
      </c>
      <c r="L39" s="6" t="s">
        <v>1037</v>
      </c>
      <c r="M39" s="6" t="s">
        <v>1031</v>
      </c>
      <c r="N39" s="10" t="b">
        <v>0</v>
      </c>
      <c r="O39" s="7">
        <v>45822</v>
      </c>
      <c r="P39" s="34"/>
    </row>
    <row r="40" spans="1:16" x14ac:dyDescent="0.35">
      <c r="A40" s="5" t="s">
        <v>1098</v>
      </c>
      <c r="B40" s="6" t="s">
        <v>56</v>
      </c>
      <c r="C40" s="6" t="s">
        <v>1099</v>
      </c>
      <c r="D40" s="6" t="s">
        <v>2018</v>
      </c>
      <c r="E40" s="6" t="s">
        <v>2006</v>
      </c>
      <c r="F40" s="6" t="s">
        <v>1100</v>
      </c>
      <c r="G40" s="6" t="s">
        <v>1088</v>
      </c>
      <c r="H40" s="10" t="b">
        <v>1</v>
      </c>
      <c r="I40" s="6" t="s">
        <v>1036</v>
      </c>
      <c r="J40" s="7">
        <v>46171</v>
      </c>
      <c r="K40" s="27" t="s">
        <v>1029</v>
      </c>
      <c r="L40" s="6" t="s">
        <v>1037</v>
      </c>
      <c r="M40" s="6" t="s">
        <v>1101</v>
      </c>
      <c r="N40" s="10" t="b">
        <v>0</v>
      </c>
      <c r="O40" s="7">
        <v>45442</v>
      </c>
      <c r="P40" s="34"/>
    </row>
    <row r="41" spans="1:16" x14ac:dyDescent="0.35">
      <c r="A41" s="5" t="s">
        <v>1102</v>
      </c>
      <c r="B41" s="6" t="s">
        <v>280</v>
      </c>
      <c r="C41" s="6" t="s">
        <v>839</v>
      </c>
      <c r="D41" s="6" t="s">
        <v>2005</v>
      </c>
      <c r="E41" s="6" t="s">
        <v>2006</v>
      </c>
      <c r="F41" s="6" t="s">
        <v>1103</v>
      </c>
      <c r="G41" s="6" t="s">
        <v>1035</v>
      </c>
      <c r="H41" s="10" t="b">
        <v>1</v>
      </c>
      <c r="I41" s="6" t="s">
        <v>1036</v>
      </c>
      <c r="J41" s="7">
        <v>46107</v>
      </c>
      <c r="K41" s="27" t="s">
        <v>1029</v>
      </c>
      <c r="L41" s="6" t="s">
        <v>1104</v>
      </c>
      <c r="M41" s="6" t="s">
        <v>1105</v>
      </c>
      <c r="N41" s="10" t="b">
        <v>0</v>
      </c>
      <c r="O41" s="7">
        <v>45743</v>
      </c>
      <c r="P41" s="34"/>
    </row>
    <row r="42" spans="1:16" x14ac:dyDescent="0.35">
      <c r="A42" s="5" t="s">
        <v>1106</v>
      </c>
      <c r="B42" s="6" t="s">
        <v>419</v>
      </c>
      <c r="C42" s="6" t="s">
        <v>732</v>
      </c>
      <c r="D42" s="6" t="s">
        <v>2007</v>
      </c>
      <c r="E42" s="6" t="s">
        <v>2006</v>
      </c>
      <c r="F42" s="6" t="s">
        <v>1107</v>
      </c>
      <c r="G42" s="6" t="s">
        <v>1045</v>
      </c>
      <c r="H42" s="10" t="b">
        <v>1</v>
      </c>
      <c r="I42" s="6" t="s">
        <v>1108</v>
      </c>
      <c r="J42" s="7">
        <v>46123</v>
      </c>
      <c r="K42" s="27" t="s">
        <v>1029</v>
      </c>
      <c r="L42" s="6" t="s">
        <v>1104</v>
      </c>
      <c r="M42" s="6" t="s">
        <v>1109</v>
      </c>
      <c r="N42" s="10" t="b">
        <v>0</v>
      </c>
      <c r="O42" s="7">
        <v>46114</v>
      </c>
      <c r="P42" s="34"/>
    </row>
    <row r="43" spans="1:16" x14ac:dyDescent="0.35">
      <c r="A43" s="5" t="s">
        <v>1106</v>
      </c>
      <c r="B43" s="6" t="s">
        <v>98</v>
      </c>
      <c r="C43" s="6" t="s">
        <v>861</v>
      </c>
      <c r="D43" s="6" t="s">
        <v>2005</v>
      </c>
      <c r="E43" s="6" t="s">
        <v>2006</v>
      </c>
      <c r="F43" s="6" t="s">
        <v>1107</v>
      </c>
      <c r="G43" s="6" t="s">
        <v>1045</v>
      </c>
      <c r="H43" s="10" t="b">
        <v>1</v>
      </c>
      <c r="I43" s="6" t="s">
        <v>1036</v>
      </c>
      <c r="J43" s="7">
        <v>45722</v>
      </c>
      <c r="K43" s="27" t="s">
        <v>1029</v>
      </c>
      <c r="L43" s="6" t="s">
        <v>1104</v>
      </c>
      <c r="M43" s="6" t="s">
        <v>1110</v>
      </c>
      <c r="N43" s="10" t="b">
        <v>0</v>
      </c>
      <c r="O43" s="7">
        <v>45357</v>
      </c>
      <c r="P43" s="34"/>
    </row>
    <row r="44" spans="1:16" x14ac:dyDescent="0.35">
      <c r="A44" s="5" t="s">
        <v>1106</v>
      </c>
      <c r="B44" s="6" t="s">
        <v>718</v>
      </c>
      <c r="C44" s="6" t="s">
        <v>719</v>
      </c>
      <c r="D44" s="6" t="s">
        <v>2005</v>
      </c>
      <c r="E44" s="6" t="s">
        <v>2006</v>
      </c>
      <c r="F44" s="6" t="s">
        <v>1107</v>
      </c>
      <c r="G44" s="6" t="s">
        <v>1045</v>
      </c>
      <c r="H44" s="10" t="b">
        <v>1</v>
      </c>
      <c r="I44" s="6" t="s">
        <v>1028</v>
      </c>
      <c r="J44" s="7">
        <v>46114</v>
      </c>
      <c r="K44" s="27" t="s">
        <v>1029</v>
      </c>
      <c r="L44" s="6" t="s">
        <v>1104</v>
      </c>
      <c r="M44" s="6" t="s">
        <v>1111</v>
      </c>
      <c r="N44" s="10" t="b">
        <v>0</v>
      </c>
      <c r="O44" s="7">
        <v>45932</v>
      </c>
      <c r="P44" s="34"/>
    </row>
    <row r="45" spans="1:16" x14ac:dyDescent="0.35">
      <c r="A45" s="5" t="s">
        <v>1112</v>
      </c>
      <c r="B45" s="6" t="s">
        <v>280</v>
      </c>
      <c r="C45" s="6" t="s">
        <v>839</v>
      </c>
      <c r="D45" s="6" t="s">
        <v>2005</v>
      </c>
      <c r="E45" s="6" t="s">
        <v>2006</v>
      </c>
      <c r="F45" s="6" t="s">
        <v>1113</v>
      </c>
      <c r="G45" s="6" t="s">
        <v>1045</v>
      </c>
      <c r="H45" s="10" t="b">
        <v>1</v>
      </c>
      <c r="I45" s="6" t="s">
        <v>1108</v>
      </c>
      <c r="J45" s="7">
        <v>45991</v>
      </c>
      <c r="K45" s="27" t="s">
        <v>1029</v>
      </c>
      <c r="L45" s="6" t="s">
        <v>1104</v>
      </c>
      <c r="M45" s="6" t="s">
        <v>1114</v>
      </c>
      <c r="N45" s="10" t="b">
        <v>0</v>
      </c>
      <c r="O45" s="7">
        <v>45273</v>
      </c>
      <c r="P45" s="34"/>
    </row>
    <row r="46" spans="1:16" x14ac:dyDescent="0.35">
      <c r="A46" s="5" t="s">
        <v>1115</v>
      </c>
      <c r="B46" s="6" t="s">
        <v>402</v>
      </c>
      <c r="C46" s="6" t="s">
        <v>1116</v>
      </c>
      <c r="D46" s="6" t="s">
        <v>1998</v>
      </c>
      <c r="E46" s="6" t="s">
        <v>1999</v>
      </c>
      <c r="F46" s="6" t="s">
        <v>1117</v>
      </c>
      <c r="G46" s="6" t="s">
        <v>1045</v>
      </c>
      <c r="H46" s="10" t="b">
        <v>1</v>
      </c>
      <c r="I46" s="6" t="s">
        <v>1036</v>
      </c>
      <c r="J46" s="7">
        <v>46184</v>
      </c>
      <c r="K46" s="27" t="s">
        <v>1029</v>
      </c>
      <c r="L46" s="6" t="s">
        <v>1118</v>
      </c>
      <c r="M46" s="6" t="s">
        <v>1119</v>
      </c>
      <c r="N46" s="10" t="b">
        <v>0</v>
      </c>
      <c r="O46" s="7">
        <v>45820</v>
      </c>
      <c r="P46" s="34"/>
    </row>
    <row r="47" spans="1:16" x14ac:dyDescent="0.35">
      <c r="A47" s="5" t="s">
        <v>1120</v>
      </c>
      <c r="B47" s="6" t="s">
        <v>67</v>
      </c>
      <c r="C47" s="6" t="s">
        <v>1033</v>
      </c>
      <c r="D47" s="6" t="s">
        <v>1997</v>
      </c>
      <c r="E47" s="6" t="s">
        <v>1996</v>
      </c>
      <c r="F47" s="6" t="s">
        <v>1121</v>
      </c>
      <c r="G47" s="6" t="s">
        <v>1027</v>
      </c>
      <c r="H47" s="10" t="b">
        <v>1</v>
      </c>
      <c r="I47" s="6" t="s">
        <v>1036</v>
      </c>
      <c r="J47" s="7">
        <v>46047</v>
      </c>
      <c r="K47" s="27" t="s">
        <v>1029</v>
      </c>
      <c r="L47" s="6" t="s">
        <v>1118</v>
      </c>
      <c r="M47" s="6" t="s">
        <v>1122</v>
      </c>
      <c r="N47" s="10" t="b">
        <v>0</v>
      </c>
      <c r="O47" s="7">
        <v>44222</v>
      </c>
      <c r="P47" s="34"/>
    </row>
    <row r="48" spans="1:16" x14ac:dyDescent="0.35">
      <c r="A48" s="5" t="s">
        <v>1123</v>
      </c>
      <c r="B48" s="6" t="s">
        <v>210</v>
      </c>
      <c r="C48" s="6" t="s">
        <v>1044</v>
      </c>
      <c r="D48" s="6" t="s">
        <v>2009</v>
      </c>
      <c r="E48" s="6" t="s">
        <v>2010</v>
      </c>
      <c r="F48" s="6" t="s">
        <v>1124</v>
      </c>
      <c r="G48" s="6" t="s">
        <v>1045</v>
      </c>
      <c r="H48" s="10" t="b">
        <v>1</v>
      </c>
      <c r="I48" s="6" t="s">
        <v>1125</v>
      </c>
      <c r="J48" s="7">
        <v>46176</v>
      </c>
      <c r="K48" s="27" t="s">
        <v>1029</v>
      </c>
      <c r="L48" s="6" t="s">
        <v>1118</v>
      </c>
      <c r="M48" s="6" t="s">
        <v>1126</v>
      </c>
      <c r="N48" s="10" t="b">
        <v>0</v>
      </c>
      <c r="O48" s="7">
        <v>45994</v>
      </c>
      <c r="P48" s="34"/>
    </row>
    <row r="49" spans="1:16" x14ac:dyDescent="0.35">
      <c r="A49" s="5" t="s">
        <v>1123</v>
      </c>
      <c r="B49" s="6" t="s">
        <v>113</v>
      </c>
      <c r="C49" s="6" t="s">
        <v>826</v>
      </c>
      <c r="D49" s="6" t="s">
        <v>2007</v>
      </c>
      <c r="E49" s="6" t="s">
        <v>2006</v>
      </c>
      <c r="F49" s="6" t="s">
        <v>1124</v>
      </c>
      <c r="G49" s="6" t="s">
        <v>1127</v>
      </c>
      <c r="H49" s="10" t="b">
        <v>1</v>
      </c>
      <c r="I49" s="6" t="s">
        <v>1036</v>
      </c>
      <c r="J49" s="7">
        <v>46188</v>
      </c>
      <c r="K49" s="27" t="s">
        <v>1029</v>
      </c>
      <c r="L49" s="6" t="s">
        <v>1118</v>
      </c>
      <c r="M49" s="6" t="s">
        <v>1128</v>
      </c>
      <c r="N49" s="10" t="b">
        <v>0</v>
      </c>
      <c r="O49" s="7">
        <v>46007</v>
      </c>
      <c r="P49" s="34"/>
    </row>
    <row r="50" spans="1:16" x14ac:dyDescent="0.35">
      <c r="A50" s="5" t="s">
        <v>1123</v>
      </c>
      <c r="B50" s="6" t="s">
        <v>334</v>
      </c>
      <c r="C50" s="6" t="s">
        <v>1129</v>
      </c>
      <c r="D50" s="6" t="s">
        <v>2000</v>
      </c>
      <c r="E50" s="6" t="s">
        <v>2001</v>
      </c>
      <c r="F50" s="6" t="s">
        <v>1124</v>
      </c>
      <c r="G50" s="6" t="s">
        <v>1045</v>
      </c>
      <c r="H50" s="10" t="b">
        <v>1</v>
      </c>
      <c r="I50" s="6" t="s">
        <v>1028</v>
      </c>
      <c r="J50" s="7">
        <v>46189</v>
      </c>
      <c r="K50" s="27" t="s">
        <v>1029</v>
      </c>
      <c r="L50" s="6" t="s">
        <v>1118</v>
      </c>
      <c r="M50" s="6" t="s">
        <v>1130</v>
      </c>
      <c r="N50" s="10" t="b">
        <v>0</v>
      </c>
      <c r="O50" s="7">
        <v>45976</v>
      </c>
      <c r="P50" s="34"/>
    </row>
    <row r="51" spans="1:16" x14ac:dyDescent="0.35">
      <c r="A51" s="5" t="s">
        <v>1131</v>
      </c>
      <c r="B51" s="6" t="s">
        <v>796</v>
      </c>
      <c r="C51" s="6" t="s">
        <v>797</v>
      </c>
      <c r="D51" s="6" t="s">
        <v>2011</v>
      </c>
      <c r="E51" s="6" t="s">
        <v>1996</v>
      </c>
      <c r="F51" s="6" t="s">
        <v>1132</v>
      </c>
      <c r="G51" s="6" t="s">
        <v>1035</v>
      </c>
      <c r="H51" s="10" t="b">
        <v>1</v>
      </c>
      <c r="I51" s="6" t="s">
        <v>1028</v>
      </c>
      <c r="J51" s="7">
        <v>46187</v>
      </c>
      <c r="K51" s="27" t="s">
        <v>1029</v>
      </c>
      <c r="L51" s="6" t="s">
        <v>1118</v>
      </c>
      <c r="M51" s="6" t="s">
        <v>1133</v>
      </c>
      <c r="N51" s="10" t="b">
        <v>0</v>
      </c>
      <c r="O51" s="7">
        <v>46158</v>
      </c>
      <c r="P51" s="34"/>
    </row>
    <row r="52" spans="1:16" x14ac:dyDescent="0.35">
      <c r="A52" s="5" t="s">
        <v>1134</v>
      </c>
      <c r="B52" s="6" t="s">
        <v>67</v>
      </c>
      <c r="C52" s="6" t="s">
        <v>1033</v>
      </c>
      <c r="D52" s="6" t="s">
        <v>1997</v>
      </c>
      <c r="E52" s="6" t="s">
        <v>1996</v>
      </c>
      <c r="F52" s="6" t="s">
        <v>1135</v>
      </c>
      <c r="G52" s="6" t="s">
        <v>1136</v>
      </c>
      <c r="H52" s="10" t="b">
        <v>1</v>
      </c>
      <c r="I52" s="6" t="s">
        <v>1036</v>
      </c>
      <c r="J52" s="7">
        <v>46081</v>
      </c>
      <c r="K52" s="27" t="s">
        <v>1029</v>
      </c>
      <c r="L52" s="6" t="s">
        <v>1118</v>
      </c>
      <c r="M52" s="6" t="s">
        <v>1137</v>
      </c>
      <c r="N52" s="10" t="b">
        <v>0</v>
      </c>
      <c r="O52" s="7">
        <v>43783</v>
      </c>
      <c r="P52" s="34"/>
    </row>
    <row r="53" spans="1:16" x14ac:dyDescent="0.35">
      <c r="A53" s="5" t="s">
        <v>1138</v>
      </c>
      <c r="B53" s="6" t="s">
        <v>718</v>
      </c>
      <c r="C53" s="6" t="s">
        <v>719</v>
      </c>
      <c r="D53" s="6" t="s">
        <v>2005</v>
      </c>
      <c r="E53" s="6" t="s">
        <v>2006</v>
      </c>
      <c r="F53" s="6" t="s">
        <v>1139</v>
      </c>
      <c r="G53" s="6" t="s">
        <v>1127</v>
      </c>
      <c r="H53" s="10" t="b">
        <v>1</v>
      </c>
      <c r="I53" s="6" t="s">
        <v>1125</v>
      </c>
      <c r="J53" s="7">
        <v>46154</v>
      </c>
      <c r="K53" s="27" t="s">
        <v>1029</v>
      </c>
      <c r="L53" s="6" t="s">
        <v>1140</v>
      </c>
      <c r="M53" s="6" t="s">
        <v>1141</v>
      </c>
      <c r="N53" s="10" t="b">
        <v>0</v>
      </c>
      <c r="O53" s="7">
        <v>46065</v>
      </c>
      <c r="P53" s="34"/>
    </row>
    <row r="54" spans="1:16" x14ac:dyDescent="0.35">
      <c r="A54" s="5" t="s">
        <v>1142</v>
      </c>
      <c r="B54" s="6" t="s">
        <v>280</v>
      </c>
      <c r="C54" s="6" t="s">
        <v>839</v>
      </c>
      <c r="D54" s="6" t="s">
        <v>2005</v>
      </c>
      <c r="E54" s="6" t="s">
        <v>2006</v>
      </c>
      <c r="F54" s="6" t="s">
        <v>1143</v>
      </c>
      <c r="G54" s="6" t="s">
        <v>1127</v>
      </c>
      <c r="H54" s="10" t="b">
        <v>1</v>
      </c>
      <c r="I54" s="6" t="s">
        <v>1036</v>
      </c>
      <c r="J54" s="7">
        <v>46140</v>
      </c>
      <c r="K54" s="27" t="s">
        <v>1029</v>
      </c>
      <c r="L54" s="6" t="s">
        <v>1140</v>
      </c>
      <c r="M54" s="6" t="s">
        <v>1144</v>
      </c>
      <c r="N54" s="10" t="b">
        <v>0</v>
      </c>
      <c r="O54" s="7">
        <v>44315</v>
      </c>
      <c r="P54" s="34"/>
    </row>
    <row r="55" spans="1:16" x14ac:dyDescent="0.35">
      <c r="A55" s="5" t="s">
        <v>1145</v>
      </c>
      <c r="B55" s="6" t="s">
        <v>113</v>
      </c>
      <c r="C55" s="6" t="s">
        <v>826</v>
      </c>
      <c r="D55" s="6" t="s">
        <v>2007</v>
      </c>
      <c r="E55" s="6" t="s">
        <v>2006</v>
      </c>
      <c r="F55" s="6" t="s">
        <v>1146</v>
      </c>
      <c r="G55" s="6" t="s">
        <v>1035</v>
      </c>
      <c r="H55" s="10" t="b">
        <v>1</v>
      </c>
      <c r="I55" s="6" t="s">
        <v>1036</v>
      </c>
      <c r="J55" s="7">
        <v>46175</v>
      </c>
      <c r="K55" s="27" t="s">
        <v>1029</v>
      </c>
      <c r="L55" s="6" t="s">
        <v>1140</v>
      </c>
      <c r="M55" s="6" t="s">
        <v>1147</v>
      </c>
      <c r="N55" s="10" t="b">
        <v>0</v>
      </c>
      <c r="O55" s="7">
        <v>45445</v>
      </c>
      <c r="P55" s="34"/>
    </row>
    <row r="56" spans="1:16" x14ac:dyDescent="0.35">
      <c r="A56" s="5" t="s">
        <v>1148</v>
      </c>
      <c r="B56" s="6" t="s">
        <v>1149</v>
      </c>
      <c r="C56" s="6" t="s">
        <v>1150</v>
      </c>
      <c r="D56" s="6" t="s">
        <v>2013</v>
      </c>
      <c r="E56" s="6" t="s">
        <v>2014</v>
      </c>
      <c r="F56" s="6" t="s">
        <v>1151</v>
      </c>
      <c r="G56" s="6" t="s">
        <v>1035</v>
      </c>
      <c r="H56" s="10" t="b">
        <v>1</v>
      </c>
      <c r="I56" s="6" t="s">
        <v>1036</v>
      </c>
      <c r="J56" s="7">
        <v>46188</v>
      </c>
      <c r="K56" s="27" t="s">
        <v>1029</v>
      </c>
      <c r="L56" s="6" t="s">
        <v>1140</v>
      </c>
      <c r="M56" s="6" t="s">
        <v>1152</v>
      </c>
      <c r="N56" s="10" t="b">
        <v>0</v>
      </c>
      <c r="O56" s="7">
        <v>45803</v>
      </c>
      <c r="P56" s="34">
        <v>46188</v>
      </c>
    </row>
    <row r="57" spans="1:16" x14ac:dyDescent="0.35">
      <c r="A57" s="5" t="s">
        <v>1153</v>
      </c>
      <c r="B57" s="6" t="s">
        <v>141</v>
      </c>
      <c r="C57" s="6" t="s">
        <v>1041</v>
      </c>
      <c r="D57" s="6" t="s">
        <v>1997</v>
      </c>
      <c r="E57" s="6" t="s">
        <v>1996</v>
      </c>
      <c r="F57" s="6" t="s">
        <v>1154</v>
      </c>
      <c r="G57" s="6" t="s">
        <v>1091</v>
      </c>
      <c r="H57" s="10" t="b">
        <v>1</v>
      </c>
      <c r="I57" s="6" t="s">
        <v>1036</v>
      </c>
      <c r="J57" s="7">
        <v>46173</v>
      </c>
      <c r="K57" s="27" t="s">
        <v>1029</v>
      </c>
      <c r="L57" s="6" t="s">
        <v>1140</v>
      </c>
      <c r="M57" s="6" t="s">
        <v>1155</v>
      </c>
      <c r="N57" s="10" t="b">
        <v>0</v>
      </c>
      <c r="O57" s="7">
        <v>45809</v>
      </c>
      <c r="P57" s="34"/>
    </row>
    <row r="58" spans="1:16" x14ac:dyDescent="0.35">
      <c r="A58" s="5" t="s">
        <v>1153</v>
      </c>
      <c r="B58" s="6" t="s">
        <v>1156</v>
      </c>
      <c r="C58" s="6" t="s">
        <v>1157</v>
      </c>
      <c r="D58" s="6" t="s">
        <v>1998</v>
      </c>
      <c r="E58" s="6" t="s">
        <v>1999</v>
      </c>
      <c r="F58" s="6" t="s">
        <v>1154</v>
      </c>
      <c r="G58" s="6" t="s">
        <v>1035</v>
      </c>
      <c r="H58" s="10" t="b">
        <v>1</v>
      </c>
      <c r="I58" s="6" t="s">
        <v>1036</v>
      </c>
      <c r="J58" s="7">
        <v>46177</v>
      </c>
      <c r="K58" s="27" t="s">
        <v>1029</v>
      </c>
      <c r="L58" s="6" t="s">
        <v>1140</v>
      </c>
      <c r="M58" s="6" t="s">
        <v>1158</v>
      </c>
      <c r="N58" s="10" t="b">
        <v>0</v>
      </c>
      <c r="O58" s="7">
        <v>45812</v>
      </c>
      <c r="P58" s="34"/>
    </row>
    <row r="59" spans="1:16" x14ac:dyDescent="0.35">
      <c r="A59" s="5" t="s">
        <v>1159</v>
      </c>
      <c r="B59" s="6" t="s">
        <v>67</v>
      </c>
      <c r="C59" s="6" t="s">
        <v>1033</v>
      </c>
      <c r="D59" s="6" t="s">
        <v>1997</v>
      </c>
      <c r="E59" s="6" t="s">
        <v>1996</v>
      </c>
      <c r="F59" s="6" t="s">
        <v>1160</v>
      </c>
      <c r="G59" s="6" t="s">
        <v>1035</v>
      </c>
      <c r="H59" s="10" t="b">
        <v>1</v>
      </c>
      <c r="I59" s="6" t="s">
        <v>1036</v>
      </c>
      <c r="J59" s="7">
        <v>46022</v>
      </c>
      <c r="K59" s="27" t="s">
        <v>1029</v>
      </c>
      <c r="L59" s="6" t="s">
        <v>1161</v>
      </c>
      <c r="M59" s="6" t="s">
        <v>1031</v>
      </c>
      <c r="N59" s="10" t="b">
        <v>0</v>
      </c>
      <c r="O59" s="7">
        <v>46023</v>
      </c>
      <c r="P59" s="34"/>
    </row>
    <row r="60" spans="1:16" x14ac:dyDescent="0.35">
      <c r="A60" s="5" t="s">
        <v>1162</v>
      </c>
      <c r="B60" s="6" t="s">
        <v>1065</v>
      </c>
      <c r="C60" s="6" t="s">
        <v>1066</v>
      </c>
      <c r="D60" s="6" t="s">
        <v>2015</v>
      </c>
      <c r="E60" s="6" t="s">
        <v>2001</v>
      </c>
      <c r="F60" s="6" t="s">
        <v>1163</v>
      </c>
      <c r="G60" s="6" t="s">
        <v>1027</v>
      </c>
      <c r="H60" s="10" t="b">
        <v>1</v>
      </c>
      <c r="I60" s="6" t="s">
        <v>1028</v>
      </c>
      <c r="J60" s="7">
        <v>46185</v>
      </c>
      <c r="K60" s="27" t="s">
        <v>1029</v>
      </c>
      <c r="L60" s="6" t="s">
        <v>1030</v>
      </c>
      <c r="M60" s="6" t="s">
        <v>1164</v>
      </c>
      <c r="N60" s="10" t="b">
        <v>0</v>
      </c>
      <c r="O60" s="7">
        <v>45714</v>
      </c>
      <c r="P60" s="34"/>
    </row>
    <row r="61" spans="1:16" x14ac:dyDescent="0.35">
      <c r="A61" s="5" t="s">
        <v>1165</v>
      </c>
      <c r="B61" s="6" t="s">
        <v>244</v>
      </c>
      <c r="C61" s="6" t="s">
        <v>1025</v>
      </c>
      <c r="D61" s="6" t="s">
        <v>2019</v>
      </c>
      <c r="E61" s="6" t="s">
        <v>2010</v>
      </c>
      <c r="F61" s="6" t="s">
        <v>1166</v>
      </c>
      <c r="G61" s="6" t="s">
        <v>1045</v>
      </c>
      <c r="H61" s="10" t="b">
        <v>1</v>
      </c>
      <c r="I61" s="6" t="s">
        <v>1028</v>
      </c>
      <c r="J61" s="7">
        <v>46179</v>
      </c>
      <c r="K61" s="27" t="s">
        <v>1029</v>
      </c>
      <c r="L61" s="6" t="s">
        <v>1167</v>
      </c>
      <c r="M61" s="6" t="s">
        <v>1168</v>
      </c>
      <c r="N61" s="10" t="b">
        <v>0</v>
      </c>
      <c r="O61" s="7">
        <v>46111</v>
      </c>
      <c r="P61" s="34"/>
    </row>
    <row r="62" spans="1:16" x14ac:dyDescent="0.35">
      <c r="A62" s="5" t="s">
        <v>1165</v>
      </c>
      <c r="B62" s="6" t="s">
        <v>280</v>
      </c>
      <c r="C62" s="6" t="s">
        <v>839</v>
      </c>
      <c r="D62" s="6" t="s">
        <v>2005</v>
      </c>
      <c r="E62" s="6" t="s">
        <v>2006</v>
      </c>
      <c r="F62" s="6" t="s">
        <v>1166</v>
      </c>
      <c r="G62" s="6" t="s">
        <v>1045</v>
      </c>
      <c r="H62" s="10" t="b">
        <v>1</v>
      </c>
      <c r="I62" s="6" t="s">
        <v>1036</v>
      </c>
      <c r="J62" s="7">
        <v>46093</v>
      </c>
      <c r="K62" s="27" t="s">
        <v>1029</v>
      </c>
      <c r="L62" s="6" t="s">
        <v>1167</v>
      </c>
      <c r="M62" s="6" t="s">
        <v>1169</v>
      </c>
      <c r="N62" s="10" t="b">
        <v>0</v>
      </c>
      <c r="O62" s="7">
        <v>45913</v>
      </c>
      <c r="P62" s="34"/>
    </row>
    <row r="63" spans="1:16" x14ac:dyDescent="0.35">
      <c r="A63" s="5" t="s">
        <v>1165</v>
      </c>
      <c r="B63" s="6" t="s">
        <v>718</v>
      </c>
      <c r="C63" s="6" t="s">
        <v>719</v>
      </c>
      <c r="D63" s="6" t="s">
        <v>2005</v>
      </c>
      <c r="E63" s="6" t="s">
        <v>2006</v>
      </c>
      <c r="F63" s="6" t="s">
        <v>1166</v>
      </c>
      <c r="G63" s="6" t="s">
        <v>1045</v>
      </c>
      <c r="H63" s="10" t="b">
        <v>1</v>
      </c>
      <c r="I63" s="6" t="s">
        <v>1028</v>
      </c>
      <c r="J63" s="7">
        <v>46113</v>
      </c>
      <c r="K63" s="27" t="s">
        <v>1029</v>
      </c>
      <c r="L63" s="6" t="s">
        <v>1167</v>
      </c>
      <c r="M63" s="6" t="s">
        <v>1170</v>
      </c>
      <c r="N63" s="10" t="b">
        <v>0</v>
      </c>
      <c r="O63" s="7">
        <v>45717</v>
      </c>
      <c r="P63" s="34"/>
    </row>
    <row r="64" spans="1:16" x14ac:dyDescent="0.35">
      <c r="A64" s="5" t="s">
        <v>1171</v>
      </c>
      <c r="B64" s="6" t="s">
        <v>1149</v>
      </c>
      <c r="C64" s="6" t="s">
        <v>1150</v>
      </c>
      <c r="D64" s="6" t="s">
        <v>2013</v>
      </c>
      <c r="E64" s="6" t="s">
        <v>2014</v>
      </c>
      <c r="F64" s="6" t="s">
        <v>1172</v>
      </c>
      <c r="G64" s="6" t="s">
        <v>1173</v>
      </c>
      <c r="H64" s="10" t="b">
        <v>1</v>
      </c>
      <c r="I64" s="6" t="s">
        <v>1036</v>
      </c>
      <c r="J64" s="7">
        <v>46181</v>
      </c>
      <c r="K64" s="27" t="s">
        <v>1029</v>
      </c>
      <c r="L64" s="6" t="s">
        <v>1174</v>
      </c>
      <c r="M64" s="6" t="s">
        <v>1175</v>
      </c>
      <c r="N64" s="10" t="b">
        <v>0</v>
      </c>
      <c r="O64" s="7">
        <v>45121</v>
      </c>
      <c r="P64" s="34">
        <v>46181</v>
      </c>
    </row>
    <row r="65" spans="1:16" x14ac:dyDescent="0.35">
      <c r="A65" s="5" t="s">
        <v>1176</v>
      </c>
      <c r="B65" s="6" t="s">
        <v>1177</v>
      </c>
      <c r="C65" s="6" t="s">
        <v>1178</v>
      </c>
      <c r="D65" s="6" t="s">
        <v>2024</v>
      </c>
      <c r="E65" s="6" t="s">
        <v>2010</v>
      </c>
      <c r="F65" s="6" t="s">
        <v>1179</v>
      </c>
      <c r="G65" s="6" t="s">
        <v>1035</v>
      </c>
      <c r="H65" s="10" t="b">
        <v>1</v>
      </c>
      <c r="I65" s="6" t="s">
        <v>1125</v>
      </c>
      <c r="J65" s="7">
        <v>46084</v>
      </c>
      <c r="K65" s="27" t="s">
        <v>1029</v>
      </c>
      <c r="L65" s="6" t="s">
        <v>1180</v>
      </c>
      <c r="M65" s="6" t="s">
        <v>1181</v>
      </c>
      <c r="N65" s="10" t="b">
        <v>0</v>
      </c>
      <c r="O65" s="7">
        <v>45720</v>
      </c>
      <c r="P65" s="34"/>
    </row>
    <row r="66" spans="1:16" x14ac:dyDescent="0.35">
      <c r="A66" s="5" t="s">
        <v>1182</v>
      </c>
      <c r="B66" s="6" t="s">
        <v>1177</v>
      </c>
      <c r="C66" s="6" t="s">
        <v>1178</v>
      </c>
      <c r="D66" s="6" t="s">
        <v>2024</v>
      </c>
      <c r="E66" s="6" t="s">
        <v>2010</v>
      </c>
      <c r="F66" s="6" t="s">
        <v>1183</v>
      </c>
      <c r="G66" s="6" t="s">
        <v>1035</v>
      </c>
      <c r="H66" s="10" t="b">
        <v>1</v>
      </c>
      <c r="I66" s="6" t="s">
        <v>1028</v>
      </c>
      <c r="J66" s="7">
        <v>46188</v>
      </c>
      <c r="K66" s="27" t="s">
        <v>1029</v>
      </c>
      <c r="L66" s="6" t="s">
        <v>1184</v>
      </c>
      <c r="M66" s="6" t="s">
        <v>1185</v>
      </c>
      <c r="N66" s="10" t="b">
        <v>0</v>
      </c>
      <c r="O66" s="7">
        <v>45726</v>
      </c>
      <c r="P66" s="34"/>
    </row>
    <row r="67" spans="1:16" x14ac:dyDescent="0.35">
      <c r="A67" s="5" t="s">
        <v>1186</v>
      </c>
      <c r="B67" s="6" t="s">
        <v>853</v>
      </c>
      <c r="C67" s="6" t="s">
        <v>854</v>
      </c>
      <c r="D67" s="6" t="s">
        <v>2005</v>
      </c>
      <c r="E67" s="6" t="s">
        <v>2006</v>
      </c>
      <c r="F67" s="6" t="s">
        <v>1187</v>
      </c>
      <c r="G67" s="6" t="s">
        <v>1091</v>
      </c>
      <c r="H67" s="10" t="b">
        <v>1</v>
      </c>
      <c r="I67" s="6" t="s">
        <v>1036</v>
      </c>
      <c r="J67" s="7">
        <v>46143</v>
      </c>
      <c r="K67" s="27" t="s">
        <v>1029</v>
      </c>
      <c r="L67" s="6" t="s">
        <v>1184</v>
      </c>
      <c r="M67" s="6" t="s">
        <v>1188</v>
      </c>
      <c r="N67" s="10" t="b">
        <v>0</v>
      </c>
      <c r="O67" s="7">
        <v>45231</v>
      </c>
      <c r="P67" s="34"/>
    </row>
    <row r="68" spans="1:16" x14ac:dyDescent="0.35">
      <c r="A68" s="5" t="s">
        <v>1189</v>
      </c>
      <c r="B68" s="6" t="s">
        <v>1190</v>
      </c>
      <c r="C68" s="6" t="s">
        <v>1191</v>
      </c>
      <c r="D68" s="6" t="s">
        <v>1998</v>
      </c>
      <c r="E68" s="6" t="s">
        <v>1999</v>
      </c>
      <c r="F68" s="6" t="s">
        <v>1192</v>
      </c>
      <c r="G68" s="6" t="s">
        <v>1091</v>
      </c>
      <c r="H68" s="10" t="b">
        <v>1</v>
      </c>
      <c r="I68" s="6" t="s">
        <v>1036</v>
      </c>
      <c r="J68" s="7">
        <v>46188</v>
      </c>
      <c r="K68" s="27" t="s">
        <v>1029</v>
      </c>
      <c r="L68" s="6" t="s">
        <v>1184</v>
      </c>
      <c r="M68" s="6" t="s">
        <v>1193</v>
      </c>
      <c r="N68" s="10" t="b">
        <v>0</v>
      </c>
      <c r="O68" s="7">
        <v>45824</v>
      </c>
      <c r="P68" s="34"/>
    </row>
    <row r="69" spans="1:16" x14ac:dyDescent="0.35">
      <c r="A69" s="5" t="s">
        <v>1194</v>
      </c>
      <c r="B69" s="6" t="s">
        <v>1065</v>
      </c>
      <c r="C69" s="6" t="s">
        <v>1066</v>
      </c>
      <c r="D69" s="6" t="s">
        <v>2015</v>
      </c>
      <c r="E69" s="6" t="s">
        <v>2001</v>
      </c>
      <c r="F69" s="6" t="s">
        <v>1195</v>
      </c>
      <c r="G69" s="6" t="s">
        <v>1091</v>
      </c>
      <c r="H69" s="10" t="b">
        <v>1</v>
      </c>
      <c r="I69" s="6" t="s">
        <v>1036</v>
      </c>
      <c r="J69" s="7">
        <v>46188</v>
      </c>
      <c r="K69" s="27" t="s">
        <v>1029</v>
      </c>
      <c r="L69" s="6" t="s">
        <v>1196</v>
      </c>
      <c r="M69" s="6" t="s">
        <v>1031</v>
      </c>
      <c r="N69" s="10" t="b">
        <v>0</v>
      </c>
      <c r="O69" s="7">
        <v>45824</v>
      </c>
      <c r="P69" s="34"/>
    </row>
    <row r="70" spans="1:16" x14ac:dyDescent="0.35">
      <c r="A70" s="5" t="s">
        <v>1194</v>
      </c>
      <c r="B70" s="6" t="s">
        <v>1149</v>
      </c>
      <c r="C70" s="6" t="s">
        <v>1150</v>
      </c>
      <c r="D70" s="6" t="s">
        <v>2013</v>
      </c>
      <c r="E70" s="6" t="s">
        <v>2014</v>
      </c>
      <c r="F70" s="6" t="s">
        <v>1195</v>
      </c>
      <c r="G70" s="6" t="s">
        <v>1035</v>
      </c>
      <c r="H70" s="10" t="b">
        <v>1</v>
      </c>
      <c r="I70" s="6" t="s">
        <v>1036</v>
      </c>
      <c r="J70" s="7">
        <v>46188</v>
      </c>
      <c r="K70" s="27" t="s">
        <v>1029</v>
      </c>
      <c r="L70" s="6" t="s">
        <v>1196</v>
      </c>
      <c r="M70" s="6" t="s">
        <v>1197</v>
      </c>
      <c r="N70" s="10" t="b">
        <v>0</v>
      </c>
      <c r="O70" s="7">
        <v>45803</v>
      </c>
      <c r="P70" s="34">
        <v>46188</v>
      </c>
    </row>
    <row r="71" spans="1:16" x14ac:dyDescent="0.35">
      <c r="A71" s="5" t="s">
        <v>1198</v>
      </c>
      <c r="B71" s="6" t="s">
        <v>280</v>
      </c>
      <c r="C71" s="6" t="s">
        <v>839</v>
      </c>
      <c r="D71" s="6" t="s">
        <v>2005</v>
      </c>
      <c r="E71" s="6" t="s">
        <v>2006</v>
      </c>
      <c r="F71" s="6" t="s">
        <v>1199</v>
      </c>
      <c r="G71" s="6" t="s">
        <v>1200</v>
      </c>
      <c r="H71" s="10" t="b">
        <v>1</v>
      </c>
      <c r="I71" s="6" t="s">
        <v>1036</v>
      </c>
      <c r="J71" s="7">
        <v>46144</v>
      </c>
      <c r="K71" s="27" t="s">
        <v>1029</v>
      </c>
      <c r="L71" s="6" t="s">
        <v>1201</v>
      </c>
      <c r="M71" s="6" t="s">
        <v>1031</v>
      </c>
      <c r="N71" s="10" t="b">
        <v>0</v>
      </c>
      <c r="O71" s="7">
        <v>45964</v>
      </c>
      <c r="P71" s="34"/>
    </row>
    <row r="72" spans="1:16" x14ac:dyDescent="0.35">
      <c r="A72" s="5" t="s">
        <v>1202</v>
      </c>
      <c r="B72" s="6" t="s">
        <v>1069</v>
      </c>
      <c r="C72" s="6" t="s">
        <v>1070</v>
      </c>
      <c r="D72" s="6" t="s">
        <v>2023</v>
      </c>
      <c r="E72" s="6" t="s">
        <v>2004</v>
      </c>
      <c r="F72" s="6" t="s">
        <v>1203</v>
      </c>
      <c r="G72" s="6" t="s">
        <v>1035</v>
      </c>
      <c r="H72" s="10" t="b">
        <v>1</v>
      </c>
      <c r="I72" s="6" t="s">
        <v>1036</v>
      </c>
      <c r="J72" s="7">
        <v>46184</v>
      </c>
      <c r="K72" s="27" t="s">
        <v>1029</v>
      </c>
      <c r="L72" s="6" t="s">
        <v>1201</v>
      </c>
      <c r="M72" s="6" t="s">
        <v>1031</v>
      </c>
      <c r="N72" s="10" t="b">
        <v>0</v>
      </c>
      <c r="O72" s="7">
        <v>45820</v>
      </c>
      <c r="P72" s="34"/>
    </row>
    <row r="73" spans="1:16" x14ac:dyDescent="0.35">
      <c r="A73" s="5" t="s">
        <v>1204</v>
      </c>
      <c r="B73" s="6" t="s">
        <v>141</v>
      </c>
      <c r="C73" s="6" t="s">
        <v>1041</v>
      </c>
      <c r="D73" s="6" t="s">
        <v>1997</v>
      </c>
      <c r="E73" s="6" t="s">
        <v>1996</v>
      </c>
      <c r="F73" s="6" t="s">
        <v>1205</v>
      </c>
      <c r="G73" s="6" t="s">
        <v>1035</v>
      </c>
      <c r="H73" s="10" t="b">
        <v>1</v>
      </c>
      <c r="I73" s="6" t="s">
        <v>1036</v>
      </c>
      <c r="J73" s="7">
        <v>46173</v>
      </c>
      <c r="K73" s="27" t="s">
        <v>1029</v>
      </c>
      <c r="L73" s="6" t="s">
        <v>1201</v>
      </c>
      <c r="M73" s="6" t="s">
        <v>1031</v>
      </c>
      <c r="N73" s="10" t="b">
        <v>0</v>
      </c>
      <c r="O73" s="7">
        <v>45809</v>
      </c>
      <c r="P73" s="34"/>
    </row>
    <row r="74" spans="1:16" x14ac:dyDescent="0.35">
      <c r="A74" s="5" t="s">
        <v>1206</v>
      </c>
      <c r="B74" s="6" t="s">
        <v>280</v>
      </c>
      <c r="C74" s="6" t="s">
        <v>839</v>
      </c>
      <c r="D74" s="6" t="s">
        <v>2005</v>
      </c>
      <c r="E74" s="6" t="s">
        <v>2006</v>
      </c>
      <c r="F74" s="6" t="s">
        <v>1207</v>
      </c>
      <c r="G74" s="6" t="s">
        <v>1045</v>
      </c>
      <c r="H74" s="10" t="b">
        <v>1</v>
      </c>
      <c r="I74" s="6" t="s">
        <v>1036</v>
      </c>
      <c r="J74" s="7">
        <v>46093</v>
      </c>
      <c r="K74" s="27" t="s">
        <v>1029</v>
      </c>
      <c r="L74" s="6" t="s">
        <v>1167</v>
      </c>
      <c r="M74" s="6" t="s">
        <v>1169</v>
      </c>
      <c r="N74" s="10" t="b">
        <v>0</v>
      </c>
      <c r="O74" s="7">
        <v>45913</v>
      </c>
      <c r="P74" s="34"/>
    </row>
    <row r="75" spans="1:16" x14ac:dyDescent="0.35">
      <c r="A75" s="5" t="s">
        <v>1206</v>
      </c>
      <c r="B75" s="6" t="s">
        <v>1177</v>
      </c>
      <c r="C75" s="6" t="s">
        <v>1178</v>
      </c>
      <c r="D75" s="6" t="s">
        <v>2024</v>
      </c>
      <c r="E75" s="6" t="s">
        <v>2010</v>
      </c>
      <c r="F75" s="6" t="s">
        <v>1207</v>
      </c>
      <c r="G75" s="6" t="s">
        <v>1045</v>
      </c>
      <c r="H75" s="10" t="b">
        <v>1</v>
      </c>
      <c r="I75" s="6" t="s">
        <v>1028</v>
      </c>
      <c r="J75" s="7">
        <v>46188</v>
      </c>
      <c r="K75" s="27" t="s">
        <v>1029</v>
      </c>
      <c r="L75" s="6" t="s">
        <v>1167</v>
      </c>
      <c r="M75" s="6" t="s">
        <v>1208</v>
      </c>
      <c r="N75" s="10" t="b">
        <v>0</v>
      </c>
      <c r="O75" s="7">
        <v>45726</v>
      </c>
      <c r="P75" s="34"/>
    </row>
    <row r="76" spans="1:16" x14ac:dyDescent="0.35">
      <c r="A76" s="5" t="s">
        <v>1209</v>
      </c>
      <c r="B76" s="6" t="s">
        <v>853</v>
      </c>
      <c r="C76" s="6" t="s">
        <v>854</v>
      </c>
      <c r="D76" s="6" t="s">
        <v>2005</v>
      </c>
      <c r="E76" s="6" t="s">
        <v>2006</v>
      </c>
      <c r="F76" s="6" t="s">
        <v>1210</v>
      </c>
      <c r="G76" s="6" t="s">
        <v>1035</v>
      </c>
      <c r="H76" s="10" t="b">
        <v>1</v>
      </c>
      <c r="I76" s="6" t="s">
        <v>1028</v>
      </c>
      <c r="J76" s="7">
        <v>46178</v>
      </c>
      <c r="K76" s="27" t="s">
        <v>1029</v>
      </c>
      <c r="L76" s="6" t="s">
        <v>1201</v>
      </c>
      <c r="M76" s="6" t="s">
        <v>1211</v>
      </c>
      <c r="N76" s="10" t="b">
        <v>0</v>
      </c>
      <c r="O76" s="7">
        <v>45814</v>
      </c>
      <c r="P76" s="34"/>
    </row>
    <row r="77" spans="1:16" x14ac:dyDescent="0.35">
      <c r="A77" s="5" t="s">
        <v>1212</v>
      </c>
      <c r="B77" s="6" t="s">
        <v>1156</v>
      </c>
      <c r="C77" s="6" t="s">
        <v>1157</v>
      </c>
      <c r="D77" s="6" t="s">
        <v>1998</v>
      </c>
      <c r="E77" s="6" t="s">
        <v>1999</v>
      </c>
      <c r="F77" s="6" t="s">
        <v>1213</v>
      </c>
      <c r="G77" s="6" t="s">
        <v>1035</v>
      </c>
      <c r="H77" s="10" t="b">
        <v>1</v>
      </c>
      <c r="I77" s="6" t="s">
        <v>1036</v>
      </c>
      <c r="J77" s="7">
        <v>46178</v>
      </c>
      <c r="K77" s="27" t="s">
        <v>1029</v>
      </c>
      <c r="L77" s="6" t="s">
        <v>1201</v>
      </c>
      <c r="M77" s="6" t="s">
        <v>1158</v>
      </c>
      <c r="N77" s="10" t="b">
        <v>0</v>
      </c>
      <c r="O77" s="7">
        <v>45812</v>
      </c>
      <c r="P77" s="34"/>
    </row>
    <row r="78" spans="1:16" x14ac:dyDescent="0.35">
      <c r="A78" s="5" t="s">
        <v>1214</v>
      </c>
      <c r="B78" s="6" t="s">
        <v>1215</v>
      </c>
      <c r="C78" s="6" t="s">
        <v>1216</v>
      </c>
      <c r="D78" s="6" t="s">
        <v>2023</v>
      </c>
      <c r="E78" s="6" t="s">
        <v>2004</v>
      </c>
      <c r="F78" s="6" t="s">
        <v>1217</v>
      </c>
      <c r="G78" s="6" t="s">
        <v>1056</v>
      </c>
      <c r="H78" s="10" t="b">
        <v>1</v>
      </c>
      <c r="I78" s="6" t="s">
        <v>1036</v>
      </c>
      <c r="J78" s="7">
        <v>46179</v>
      </c>
      <c r="K78" s="27" t="s">
        <v>1029</v>
      </c>
      <c r="L78" s="6" t="s">
        <v>1201</v>
      </c>
      <c r="M78" s="6" t="s">
        <v>1218</v>
      </c>
      <c r="N78" s="10" t="b">
        <v>0</v>
      </c>
      <c r="O78" s="7">
        <v>45997</v>
      </c>
      <c r="P78" s="34"/>
    </row>
    <row r="79" spans="1:16" x14ac:dyDescent="0.35">
      <c r="A79" s="5" t="s">
        <v>1219</v>
      </c>
      <c r="B79" s="6" t="s">
        <v>141</v>
      </c>
      <c r="C79" s="6" t="s">
        <v>1041</v>
      </c>
      <c r="D79" s="6" t="s">
        <v>1997</v>
      </c>
      <c r="E79" s="6" t="s">
        <v>1996</v>
      </c>
      <c r="F79" s="6" t="s">
        <v>1220</v>
      </c>
      <c r="G79" s="6" t="s">
        <v>1091</v>
      </c>
      <c r="H79" s="10" t="b">
        <v>1</v>
      </c>
      <c r="I79" s="6" t="s">
        <v>1036</v>
      </c>
      <c r="J79" s="7">
        <v>46173</v>
      </c>
      <c r="K79" s="27" t="s">
        <v>1029</v>
      </c>
      <c r="L79" s="6" t="s">
        <v>1221</v>
      </c>
      <c r="M79" s="6" t="s">
        <v>1155</v>
      </c>
      <c r="N79" s="10" t="b">
        <v>0</v>
      </c>
      <c r="O79" s="7">
        <v>45809</v>
      </c>
      <c r="P79" s="34"/>
    </row>
    <row r="80" spans="1:16" x14ac:dyDescent="0.35">
      <c r="A80" s="5" t="s">
        <v>1219</v>
      </c>
      <c r="B80" s="6" t="s">
        <v>718</v>
      </c>
      <c r="C80" s="6" t="s">
        <v>719</v>
      </c>
      <c r="D80" s="6" t="s">
        <v>2005</v>
      </c>
      <c r="E80" s="6" t="s">
        <v>2006</v>
      </c>
      <c r="F80" s="6" t="s">
        <v>1220</v>
      </c>
      <c r="G80" s="6" t="s">
        <v>1035</v>
      </c>
      <c r="H80" s="10" t="b">
        <v>1</v>
      </c>
      <c r="I80" s="6" t="s">
        <v>1028</v>
      </c>
      <c r="J80" s="7">
        <v>46113</v>
      </c>
      <c r="K80" s="27" t="s">
        <v>1029</v>
      </c>
      <c r="L80" s="6" t="s">
        <v>1221</v>
      </c>
      <c r="M80" s="6" t="s">
        <v>1141</v>
      </c>
      <c r="N80" s="10" t="b">
        <v>0</v>
      </c>
      <c r="O80" s="7">
        <v>45384</v>
      </c>
      <c r="P80" s="34"/>
    </row>
    <row r="81" spans="1:16" x14ac:dyDescent="0.35">
      <c r="A81" s="5" t="s">
        <v>1219</v>
      </c>
      <c r="B81" s="6" t="s">
        <v>1156</v>
      </c>
      <c r="C81" s="6" t="s">
        <v>1157</v>
      </c>
      <c r="D81" s="6" t="s">
        <v>1998</v>
      </c>
      <c r="E81" s="6" t="s">
        <v>1999</v>
      </c>
      <c r="F81" s="6" t="s">
        <v>1220</v>
      </c>
      <c r="G81" s="6" t="s">
        <v>1035</v>
      </c>
      <c r="H81" s="10" t="b">
        <v>1</v>
      </c>
      <c r="I81" s="6" t="s">
        <v>1028</v>
      </c>
      <c r="J81" s="7">
        <v>46183</v>
      </c>
      <c r="K81" s="27" t="s">
        <v>1029</v>
      </c>
      <c r="L81" s="6" t="s">
        <v>1221</v>
      </c>
      <c r="M81" s="6" t="s">
        <v>1222</v>
      </c>
      <c r="N81" s="10" t="b">
        <v>0</v>
      </c>
      <c r="O81" s="7">
        <v>45802</v>
      </c>
      <c r="P81" s="34"/>
    </row>
    <row r="82" spans="1:16" x14ac:dyDescent="0.35">
      <c r="A82" s="5" t="s">
        <v>1223</v>
      </c>
      <c r="B82" s="6" t="s">
        <v>1065</v>
      </c>
      <c r="C82" s="6" t="s">
        <v>1066</v>
      </c>
      <c r="D82" s="6" t="s">
        <v>2015</v>
      </c>
      <c r="E82" s="6" t="s">
        <v>2001</v>
      </c>
      <c r="F82" s="6" t="s">
        <v>1224</v>
      </c>
      <c r="G82" s="6" t="s">
        <v>1091</v>
      </c>
      <c r="H82" s="10" t="b">
        <v>1</v>
      </c>
      <c r="I82" s="6" t="s">
        <v>1036</v>
      </c>
      <c r="J82" s="7">
        <v>46179</v>
      </c>
      <c r="K82" s="27" t="s">
        <v>1029</v>
      </c>
      <c r="L82" s="6" t="s">
        <v>1221</v>
      </c>
      <c r="M82" s="6" t="s">
        <v>1031</v>
      </c>
      <c r="N82" s="10" t="b">
        <v>0</v>
      </c>
      <c r="O82" s="7">
        <v>45815</v>
      </c>
      <c r="P82" s="34"/>
    </row>
    <row r="83" spans="1:16" x14ac:dyDescent="0.35">
      <c r="A83" s="5" t="s">
        <v>1225</v>
      </c>
      <c r="B83" s="6" t="s">
        <v>1149</v>
      </c>
      <c r="C83" s="6" t="s">
        <v>1150</v>
      </c>
      <c r="D83" s="6" t="s">
        <v>2013</v>
      </c>
      <c r="E83" s="6" t="s">
        <v>2014</v>
      </c>
      <c r="F83" s="6" t="s">
        <v>1226</v>
      </c>
      <c r="G83" s="6" t="s">
        <v>1035</v>
      </c>
      <c r="H83" s="10" t="b">
        <v>1</v>
      </c>
      <c r="I83" s="6" t="s">
        <v>1036</v>
      </c>
      <c r="J83" s="7">
        <v>46188</v>
      </c>
      <c r="K83" s="27" t="s">
        <v>1029</v>
      </c>
      <c r="L83" s="6" t="s">
        <v>1221</v>
      </c>
      <c r="M83" s="6" t="s">
        <v>1227</v>
      </c>
      <c r="N83" s="10" t="b">
        <v>0</v>
      </c>
      <c r="O83" s="7">
        <v>45803</v>
      </c>
      <c r="P83" s="34">
        <v>46188</v>
      </c>
    </row>
    <row r="84" spans="1:16" x14ac:dyDescent="0.35">
      <c r="A84" s="5" t="s">
        <v>1228</v>
      </c>
      <c r="B84" s="6" t="s">
        <v>1156</v>
      </c>
      <c r="C84" s="6" t="s">
        <v>1157</v>
      </c>
      <c r="D84" s="6" t="s">
        <v>1998</v>
      </c>
      <c r="E84" s="6" t="s">
        <v>1999</v>
      </c>
      <c r="F84" s="6" t="s">
        <v>1229</v>
      </c>
      <c r="G84" s="6" t="s">
        <v>1035</v>
      </c>
      <c r="H84" s="10" t="b">
        <v>1</v>
      </c>
      <c r="I84" s="6" t="s">
        <v>1050</v>
      </c>
      <c r="J84" s="7">
        <v>46182</v>
      </c>
      <c r="K84" s="27" t="s">
        <v>1029</v>
      </c>
      <c r="L84" s="6" t="s">
        <v>1230</v>
      </c>
      <c r="M84" s="6" t="s">
        <v>1158</v>
      </c>
      <c r="N84" s="10" t="b">
        <v>0</v>
      </c>
      <c r="O84" s="7"/>
      <c r="P84" s="34"/>
    </row>
    <row r="85" spans="1:16" x14ac:dyDescent="0.35">
      <c r="A85" s="5" t="s">
        <v>1231</v>
      </c>
      <c r="B85" s="6" t="s">
        <v>1065</v>
      </c>
      <c r="C85" s="6" t="s">
        <v>1066</v>
      </c>
      <c r="D85" s="6" t="s">
        <v>2015</v>
      </c>
      <c r="E85" s="6" t="s">
        <v>2001</v>
      </c>
      <c r="F85" s="6" t="s">
        <v>1232</v>
      </c>
      <c r="G85" s="6" t="s">
        <v>1035</v>
      </c>
      <c r="H85" s="10" t="b">
        <v>1</v>
      </c>
      <c r="I85" s="6" t="s">
        <v>1028</v>
      </c>
      <c r="J85" s="7">
        <v>46179</v>
      </c>
      <c r="K85" s="27" t="s">
        <v>1029</v>
      </c>
      <c r="L85" s="6" t="s">
        <v>1230</v>
      </c>
      <c r="M85" s="6" t="s">
        <v>1031</v>
      </c>
      <c r="N85" s="10" t="b">
        <v>0</v>
      </c>
      <c r="O85" s="7">
        <v>45815</v>
      </c>
      <c r="P85" s="34"/>
    </row>
    <row r="86" spans="1:16" x14ac:dyDescent="0.35">
      <c r="A86" s="5" t="s">
        <v>1231</v>
      </c>
      <c r="B86" s="6" t="s">
        <v>141</v>
      </c>
      <c r="C86" s="6" t="s">
        <v>1041</v>
      </c>
      <c r="D86" s="6" t="s">
        <v>1997</v>
      </c>
      <c r="E86" s="6" t="s">
        <v>1996</v>
      </c>
      <c r="F86" s="6" t="s">
        <v>1232</v>
      </c>
      <c r="G86" s="6" t="s">
        <v>1035</v>
      </c>
      <c r="H86" s="10" t="b">
        <v>1</v>
      </c>
      <c r="I86" s="6" t="s">
        <v>1036</v>
      </c>
      <c r="J86" s="7">
        <v>46173</v>
      </c>
      <c r="K86" s="27" t="s">
        <v>1029</v>
      </c>
      <c r="L86" s="6" t="s">
        <v>1230</v>
      </c>
      <c r="M86" s="6" t="s">
        <v>1155</v>
      </c>
      <c r="N86" s="10" t="b">
        <v>0</v>
      </c>
      <c r="O86" s="7">
        <v>45809</v>
      </c>
      <c r="P86" s="34"/>
    </row>
    <row r="87" spans="1:16" x14ac:dyDescent="0.35">
      <c r="A87" s="5" t="s">
        <v>1231</v>
      </c>
      <c r="B87" s="6" t="s">
        <v>244</v>
      </c>
      <c r="C87" s="6" t="s">
        <v>1025</v>
      </c>
      <c r="D87" s="6" t="s">
        <v>2019</v>
      </c>
      <c r="E87" s="6" t="s">
        <v>2010</v>
      </c>
      <c r="F87" s="6" t="s">
        <v>1232</v>
      </c>
      <c r="G87" s="6" t="s">
        <v>1091</v>
      </c>
      <c r="H87" s="10" t="b">
        <v>1</v>
      </c>
      <c r="I87" s="6" t="s">
        <v>1028</v>
      </c>
      <c r="J87" s="7">
        <v>46183</v>
      </c>
      <c r="K87" s="27" t="s">
        <v>1029</v>
      </c>
      <c r="L87" s="6" t="s">
        <v>1230</v>
      </c>
      <c r="M87" s="6" t="s">
        <v>1031</v>
      </c>
      <c r="N87" s="10" t="b">
        <v>0</v>
      </c>
      <c r="O87" s="7">
        <v>45743</v>
      </c>
      <c r="P87" s="34"/>
    </row>
    <row r="88" spans="1:16" x14ac:dyDescent="0.35">
      <c r="A88" s="5" t="s">
        <v>1231</v>
      </c>
      <c r="B88" s="6" t="s">
        <v>1233</v>
      </c>
      <c r="C88" s="6" t="s">
        <v>1234</v>
      </c>
      <c r="D88" s="6" t="s">
        <v>2023</v>
      </c>
      <c r="E88" s="6" t="s">
        <v>2004</v>
      </c>
      <c r="F88" s="6" t="s">
        <v>1232</v>
      </c>
      <c r="G88" s="6" t="s">
        <v>1091</v>
      </c>
      <c r="H88" s="10" t="b">
        <v>1</v>
      </c>
      <c r="I88" s="6" t="s">
        <v>1036</v>
      </c>
      <c r="J88" s="7">
        <v>46176</v>
      </c>
      <c r="K88" s="27" t="s">
        <v>1029</v>
      </c>
      <c r="L88" s="6" t="s">
        <v>1230</v>
      </c>
      <c r="M88" s="6" t="s">
        <v>1235</v>
      </c>
      <c r="N88" s="10" t="b">
        <v>0</v>
      </c>
      <c r="O88" s="7">
        <v>45812</v>
      </c>
      <c r="P88" s="34"/>
    </row>
    <row r="89" spans="1:16" x14ac:dyDescent="0.35">
      <c r="A89" s="5" t="s">
        <v>1236</v>
      </c>
      <c r="B89" s="6" t="s">
        <v>1065</v>
      </c>
      <c r="C89" s="6" t="s">
        <v>1066</v>
      </c>
      <c r="D89" s="6" t="s">
        <v>2015</v>
      </c>
      <c r="E89" s="6" t="s">
        <v>2001</v>
      </c>
      <c r="F89" s="6" t="s">
        <v>1237</v>
      </c>
      <c r="G89" s="6" t="s">
        <v>1035</v>
      </c>
      <c r="H89" s="10" t="b">
        <v>1</v>
      </c>
      <c r="I89" s="6" t="s">
        <v>1036</v>
      </c>
      <c r="J89" s="7">
        <v>46179</v>
      </c>
      <c r="K89" s="27" t="s">
        <v>1029</v>
      </c>
      <c r="L89" s="6" t="s">
        <v>1184</v>
      </c>
      <c r="M89" s="6" t="s">
        <v>1031</v>
      </c>
      <c r="N89" s="10" t="b">
        <v>0</v>
      </c>
      <c r="O89" s="7">
        <v>45815</v>
      </c>
      <c r="P89" s="34"/>
    </row>
    <row r="90" spans="1:16" x14ac:dyDescent="0.35">
      <c r="A90" s="5" t="s">
        <v>1236</v>
      </c>
      <c r="B90" s="6" t="s">
        <v>1149</v>
      </c>
      <c r="C90" s="6" t="s">
        <v>1150</v>
      </c>
      <c r="D90" s="6" t="s">
        <v>2013</v>
      </c>
      <c r="E90" s="6" t="s">
        <v>2014</v>
      </c>
      <c r="F90" s="6" t="s">
        <v>1237</v>
      </c>
      <c r="G90" s="6" t="s">
        <v>1091</v>
      </c>
      <c r="H90" s="10" t="b">
        <v>1</v>
      </c>
      <c r="I90" s="6" t="s">
        <v>1036</v>
      </c>
      <c r="J90" s="7">
        <v>46188</v>
      </c>
      <c r="K90" s="27" t="s">
        <v>1029</v>
      </c>
      <c r="L90" s="6" t="s">
        <v>1184</v>
      </c>
      <c r="M90" s="6" t="s">
        <v>1238</v>
      </c>
      <c r="N90" s="10" t="b">
        <v>0</v>
      </c>
      <c r="O90" s="7">
        <v>45803</v>
      </c>
      <c r="P90" s="34">
        <v>46188</v>
      </c>
    </row>
    <row r="91" spans="1:16" x14ac:dyDescent="0.35">
      <c r="A91" s="5" t="s">
        <v>1239</v>
      </c>
      <c r="B91" s="6" t="s">
        <v>1065</v>
      </c>
      <c r="C91" s="6" t="s">
        <v>1066</v>
      </c>
      <c r="D91" s="6" t="s">
        <v>2015</v>
      </c>
      <c r="E91" s="6" t="s">
        <v>2001</v>
      </c>
      <c r="F91" s="6" t="s">
        <v>1240</v>
      </c>
      <c r="G91" s="6" t="s">
        <v>1091</v>
      </c>
      <c r="H91" s="10" t="b">
        <v>1</v>
      </c>
      <c r="I91" s="6" t="s">
        <v>1036</v>
      </c>
      <c r="J91" s="7">
        <v>46179</v>
      </c>
      <c r="K91" s="27" t="s">
        <v>1029</v>
      </c>
      <c r="L91" s="6" t="s">
        <v>1184</v>
      </c>
      <c r="M91" s="6" t="s">
        <v>1031</v>
      </c>
      <c r="N91" s="10" t="b">
        <v>0</v>
      </c>
      <c r="O91" s="7">
        <v>45815</v>
      </c>
      <c r="P91" s="34"/>
    </row>
    <row r="92" spans="1:16" x14ac:dyDescent="0.35">
      <c r="A92" s="5" t="s">
        <v>1239</v>
      </c>
      <c r="B92" s="6" t="s">
        <v>1149</v>
      </c>
      <c r="C92" s="6" t="s">
        <v>1150</v>
      </c>
      <c r="D92" s="6" t="s">
        <v>2013</v>
      </c>
      <c r="E92" s="6" t="s">
        <v>2014</v>
      </c>
      <c r="F92" s="6" t="s">
        <v>1240</v>
      </c>
      <c r="G92" s="6" t="s">
        <v>1091</v>
      </c>
      <c r="H92" s="10" t="b">
        <v>1</v>
      </c>
      <c r="I92" s="6" t="s">
        <v>1036</v>
      </c>
      <c r="J92" s="7">
        <v>46188</v>
      </c>
      <c r="K92" s="27" t="s">
        <v>1029</v>
      </c>
      <c r="L92" s="6" t="s">
        <v>1184</v>
      </c>
      <c r="M92" s="6" t="s">
        <v>1241</v>
      </c>
      <c r="N92" s="10" t="b">
        <v>0</v>
      </c>
      <c r="O92" s="7">
        <v>45803</v>
      </c>
      <c r="P92" s="34">
        <v>46188</v>
      </c>
    </row>
    <row r="93" spans="1:16" x14ac:dyDescent="0.35">
      <c r="A93" s="20" t="s">
        <v>1242</v>
      </c>
      <c r="B93" s="21" t="s">
        <v>1149</v>
      </c>
      <c r="C93" s="21" t="s">
        <v>1150</v>
      </c>
      <c r="D93" s="21" t="s">
        <v>2013</v>
      </c>
      <c r="E93" s="21" t="s">
        <v>2014</v>
      </c>
      <c r="F93" s="21" t="s">
        <v>1243</v>
      </c>
      <c r="G93" s="21" t="s">
        <v>1035</v>
      </c>
      <c r="H93" s="24" t="b">
        <v>1</v>
      </c>
      <c r="I93" s="21" t="s">
        <v>1028</v>
      </c>
      <c r="J93" s="32">
        <v>46183</v>
      </c>
      <c r="K93" s="31" t="s">
        <v>1029</v>
      </c>
      <c r="L93" s="21" t="s">
        <v>1184</v>
      </c>
      <c r="M93" s="21" t="s">
        <v>1244</v>
      </c>
      <c r="N93" s="24" t="b">
        <v>0</v>
      </c>
      <c r="O93" s="32">
        <v>45803</v>
      </c>
      <c r="P93" s="35"/>
    </row>
  </sheetData>
  <hyperlinks>
    <hyperlink ref="D1" location="Summary!A1" display="Back to summary" xr:uid="{71D1B362-AD36-42A3-8285-F708C8640816}"/>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406A1-077C-4CC2-89C2-40980DEF4C37}">
  <dimension ref="A1:P133"/>
  <sheetViews>
    <sheetView workbookViewId="0">
      <selection activeCell="D1" sqref="D1"/>
    </sheetView>
  </sheetViews>
  <sheetFormatPr defaultRowHeight="14.5" x14ac:dyDescent="0.35"/>
  <cols>
    <col min="3" max="3" width="17.7265625" bestFit="1" customWidth="1"/>
    <col min="4" max="4" width="19.1796875" bestFit="1" customWidth="1"/>
  </cols>
  <sheetData>
    <row r="1" spans="1:16" x14ac:dyDescent="0.35">
      <c r="D1" s="49" t="s">
        <v>2102</v>
      </c>
    </row>
    <row r="2" spans="1:16" x14ac:dyDescent="0.35">
      <c r="A2" s="1" t="s">
        <v>1013</v>
      </c>
      <c r="B2" s="2" t="s">
        <v>482</v>
      </c>
      <c r="C2" s="2" t="s">
        <v>4</v>
      </c>
      <c r="D2" s="2" t="s">
        <v>5</v>
      </c>
      <c r="E2" s="2" t="s">
        <v>6</v>
      </c>
      <c r="F2" s="2" t="s">
        <v>1014</v>
      </c>
      <c r="G2" s="2" t="s">
        <v>1015</v>
      </c>
      <c r="H2" s="2" t="s">
        <v>1016</v>
      </c>
      <c r="I2" s="2" t="s">
        <v>1017</v>
      </c>
      <c r="J2" s="2" t="s">
        <v>1018</v>
      </c>
      <c r="K2" s="2" t="s">
        <v>10</v>
      </c>
      <c r="L2" s="2" t="s">
        <v>1019</v>
      </c>
      <c r="M2" s="2" t="s">
        <v>1020</v>
      </c>
      <c r="N2" s="2" t="s">
        <v>1021</v>
      </c>
      <c r="O2" s="2" t="s">
        <v>1022</v>
      </c>
      <c r="P2" s="3" t="s">
        <v>1023</v>
      </c>
    </row>
    <row r="3" spans="1:16" x14ac:dyDescent="0.35">
      <c r="A3" s="5" t="s">
        <v>1245</v>
      </c>
      <c r="B3" s="6" t="s">
        <v>570</v>
      </c>
      <c r="C3" s="6" t="s">
        <v>1246</v>
      </c>
      <c r="D3" s="42" t="str">
        <f>VLOOKUP(B:B,'[2]Hakata Island Team'!$E:$G,3,)</f>
        <v>Vidyadhar Vaidya</v>
      </c>
      <c r="E3" s="42" t="str">
        <f>VLOOKUP(B:B,'[2]Hakata Island Team'!$E:$H,4,)</f>
        <v>SPPL Fleet - E</v>
      </c>
      <c r="F3" s="6" t="s">
        <v>1247</v>
      </c>
      <c r="G3" s="6" t="s">
        <v>1027</v>
      </c>
      <c r="H3" s="10" t="b">
        <f>TRUE()</f>
        <v>1</v>
      </c>
      <c r="I3" s="27" t="s">
        <v>1125</v>
      </c>
      <c r="J3" s="7">
        <v>47635</v>
      </c>
      <c r="K3" s="6" t="s">
        <v>1248</v>
      </c>
      <c r="L3" s="6" t="s">
        <v>1037</v>
      </c>
      <c r="M3" s="6" t="s">
        <v>1249</v>
      </c>
      <c r="N3" s="10" t="b">
        <f>FALSE()</f>
        <v>0</v>
      </c>
      <c r="O3" s="7">
        <v>45680</v>
      </c>
      <c r="P3" s="34"/>
    </row>
    <row r="4" spans="1:16" x14ac:dyDescent="0.35">
      <c r="A4" s="5" t="s">
        <v>1245</v>
      </c>
      <c r="B4" s="6" t="s">
        <v>1233</v>
      </c>
      <c r="C4" s="6" t="s">
        <v>1234</v>
      </c>
      <c r="D4" s="6" t="str">
        <f>VLOOKUP(B:B,'[2]Hakata Island Team'!$E:$G,3,)</f>
        <v>Manikandan Ayyappan</v>
      </c>
      <c r="E4" s="6" t="str">
        <f>VLOOKUP(B:B,'[2]Hakata Island Team'!$E:$H,4,)</f>
        <v>SPPL Fleet - G</v>
      </c>
      <c r="F4" s="6" t="s">
        <v>1247</v>
      </c>
      <c r="G4" s="6" t="s">
        <v>1136</v>
      </c>
      <c r="H4" s="10" t="b">
        <f>TRUE()</f>
        <v>1</v>
      </c>
      <c r="I4" s="27" t="s">
        <v>1125</v>
      </c>
      <c r="J4" s="7">
        <v>48028</v>
      </c>
      <c r="K4" s="6" t="s">
        <v>1248</v>
      </c>
      <c r="L4" s="6" t="s">
        <v>1037</v>
      </c>
      <c r="M4" s="6" t="s">
        <v>1250</v>
      </c>
      <c r="N4" s="10" t="b">
        <f>FALSE()</f>
        <v>0</v>
      </c>
      <c r="O4" s="7">
        <v>46182</v>
      </c>
      <c r="P4" s="34"/>
    </row>
    <row r="5" spans="1:16" x14ac:dyDescent="0.35">
      <c r="A5" s="5" t="s">
        <v>1245</v>
      </c>
      <c r="B5" s="6" t="s">
        <v>750</v>
      </c>
      <c r="C5" s="6" t="s">
        <v>751</v>
      </c>
      <c r="D5" s="6" t="e">
        <f>VLOOKUP(B:B,'[2]Hakata Island Team'!$E:$G,3,)</f>
        <v>#N/A</v>
      </c>
      <c r="E5" s="6" t="e">
        <f>VLOOKUP(B:B,'[2]Hakata Island Team'!$E:$H,4,)</f>
        <v>#N/A</v>
      </c>
      <c r="F5" s="6" t="s">
        <v>1247</v>
      </c>
      <c r="G5" s="6" t="s">
        <v>1136</v>
      </c>
      <c r="H5" s="10" t="b">
        <f>TRUE()</f>
        <v>1</v>
      </c>
      <c r="I5" s="27" t="s">
        <v>1125</v>
      </c>
      <c r="J5" s="7">
        <v>48006</v>
      </c>
      <c r="K5" s="6" t="s">
        <v>1248</v>
      </c>
      <c r="L5" s="6" t="s">
        <v>1037</v>
      </c>
      <c r="M5" s="6" t="s">
        <v>1251</v>
      </c>
      <c r="N5" s="10" t="b">
        <f>FALSE()</f>
        <v>0</v>
      </c>
      <c r="O5" s="7">
        <v>46181</v>
      </c>
      <c r="P5" s="34"/>
    </row>
    <row r="6" spans="1:16" x14ac:dyDescent="0.35">
      <c r="A6" s="5" t="s">
        <v>1252</v>
      </c>
      <c r="B6" s="6" t="s">
        <v>750</v>
      </c>
      <c r="C6" s="6" t="s">
        <v>751</v>
      </c>
      <c r="D6" s="6" t="e">
        <f>VLOOKUP(B:B,'[2]Hakata Island Team'!$E:$G,3,)</f>
        <v>#N/A</v>
      </c>
      <c r="E6" s="6" t="e">
        <f>VLOOKUP(B:B,'[2]Hakata Island Team'!$E:$H,4,)</f>
        <v>#N/A</v>
      </c>
      <c r="F6" s="6" t="s">
        <v>1253</v>
      </c>
      <c r="G6" s="6" t="s">
        <v>1254</v>
      </c>
      <c r="H6" s="10" t="b">
        <f>TRUE()</f>
        <v>1</v>
      </c>
      <c r="I6" s="27" t="s">
        <v>1125</v>
      </c>
      <c r="J6" s="7">
        <v>46340</v>
      </c>
      <c r="K6" s="6" t="s">
        <v>1248</v>
      </c>
      <c r="L6" s="6" t="s">
        <v>1037</v>
      </c>
      <c r="M6" s="6" t="s">
        <v>1255</v>
      </c>
      <c r="N6" s="10" t="b">
        <f>TRUE()</f>
        <v>1</v>
      </c>
      <c r="O6" s="7">
        <v>46157</v>
      </c>
      <c r="P6" s="34"/>
    </row>
    <row r="7" spans="1:16" x14ac:dyDescent="0.35">
      <c r="A7" s="5" t="s">
        <v>1252</v>
      </c>
      <c r="B7" s="6" t="s">
        <v>575</v>
      </c>
      <c r="C7" s="6" t="s">
        <v>1256</v>
      </c>
      <c r="D7" s="6" t="str">
        <f>VLOOKUP(B:B,'[2]Hakata Island Team'!$E:$G,3,)</f>
        <v>Santosh Kulkarni/Ponnappa</v>
      </c>
      <c r="E7" s="6" t="str">
        <f>VLOOKUP(B:B,'[2]Hakata Island Team'!$E:$H,4,)</f>
        <v>SPPL Fleet - F</v>
      </c>
      <c r="F7" s="6" t="s">
        <v>1253</v>
      </c>
      <c r="G7" s="6" t="s">
        <v>1045</v>
      </c>
      <c r="H7" s="10" t="b">
        <f>TRUE()</f>
        <v>1</v>
      </c>
      <c r="I7" s="27" t="s">
        <v>1125</v>
      </c>
      <c r="J7" s="7">
        <v>47998</v>
      </c>
      <c r="K7" s="6" t="s">
        <v>1248</v>
      </c>
      <c r="L7" s="6" t="s">
        <v>1037</v>
      </c>
      <c r="M7" s="6" t="s">
        <v>1257</v>
      </c>
      <c r="N7" s="10" t="b">
        <f>TRUE()</f>
        <v>1</v>
      </c>
      <c r="O7" s="7">
        <v>46173</v>
      </c>
      <c r="P7" s="34"/>
    </row>
    <row r="8" spans="1:16" x14ac:dyDescent="0.35">
      <c r="A8" s="5" t="s">
        <v>1258</v>
      </c>
      <c r="B8" s="6" t="s">
        <v>1259</v>
      </c>
      <c r="C8" s="6" t="s">
        <v>1260</v>
      </c>
      <c r="D8" s="6" t="str">
        <f>VLOOKUP(B:B,'[2]Hakata Island Team'!$E:$G,3,)</f>
        <v>Rupak Chundayil Kalam</v>
      </c>
      <c r="E8" s="6" t="str">
        <f>VLOOKUP(B:B,'[2]Hakata Island Team'!$E:$H,4,)</f>
        <v>SPPL Fleet - B</v>
      </c>
      <c r="F8" s="6" t="s">
        <v>1261</v>
      </c>
      <c r="G8" s="6" t="s">
        <v>1027</v>
      </c>
      <c r="H8" s="10" t="b">
        <f>TRUE()</f>
        <v>1</v>
      </c>
      <c r="I8" s="27" t="s">
        <v>1125</v>
      </c>
      <c r="J8" s="7">
        <v>46770</v>
      </c>
      <c r="K8" s="6" t="s">
        <v>1248</v>
      </c>
      <c r="L8" s="6" t="s">
        <v>1037</v>
      </c>
      <c r="M8" s="6" t="s">
        <v>1262</v>
      </c>
      <c r="N8" s="10" t="b">
        <f>FALSE()</f>
        <v>0</v>
      </c>
      <c r="O8" s="7">
        <v>45802</v>
      </c>
      <c r="P8" s="34"/>
    </row>
    <row r="9" spans="1:16" x14ac:dyDescent="0.35">
      <c r="A9" s="5" t="s">
        <v>1024</v>
      </c>
      <c r="B9" s="6" t="s">
        <v>853</v>
      </c>
      <c r="C9" s="6" t="s">
        <v>854</v>
      </c>
      <c r="D9" s="6" t="str">
        <f>VLOOKUP(B:B,'[2]Hakata Island Team'!$E:$G,3,)</f>
        <v xml:space="preserve">Sujith Sundaran </v>
      </c>
      <c r="E9" s="6" t="str">
        <f>VLOOKUP(B:B,'[2]Hakata Island Team'!$E:$H,4,)</f>
        <v>SPPL Fleet - B</v>
      </c>
      <c r="F9" s="6" t="s">
        <v>1026</v>
      </c>
      <c r="G9" s="6" t="s">
        <v>1173</v>
      </c>
      <c r="H9" s="10" t="b">
        <f>TRUE()</f>
        <v>1</v>
      </c>
      <c r="I9" s="27" t="s">
        <v>1125</v>
      </c>
      <c r="J9" s="7">
        <v>47239</v>
      </c>
      <c r="K9" s="6" t="s">
        <v>1248</v>
      </c>
      <c r="L9" s="6" t="s">
        <v>1030</v>
      </c>
      <c r="M9" s="6" t="s">
        <v>1263</v>
      </c>
      <c r="N9" s="10" t="b">
        <f>FALSE()</f>
        <v>0</v>
      </c>
      <c r="O9" s="7">
        <v>45231</v>
      </c>
      <c r="P9" s="34"/>
    </row>
    <row r="10" spans="1:16" x14ac:dyDescent="0.35">
      <c r="A10" s="5" t="s">
        <v>1024</v>
      </c>
      <c r="B10" s="6" t="s">
        <v>718</v>
      </c>
      <c r="C10" s="6" t="s">
        <v>719</v>
      </c>
      <c r="D10" s="6" t="str">
        <f>VLOOKUP(B:B,'[2]Hakata Island Team'!$E:$G,3,)</f>
        <v xml:space="preserve">Sujith Sundaran </v>
      </c>
      <c r="E10" s="6" t="str">
        <f>VLOOKUP(B:B,'[2]Hakata Island Team'!$E:$H,4,)</f>
        <v>SPPL Fleet - B</v>
      </c>
      <c r="F10" s="6" t="s">
        <v>1026</v>
      </c>
      <c r="G10" s="6" t="s">
        <v>1027</v>
      </c>
      <c r="H10" s="10" t="b">
        <f>TRUE()</f>
        <v>1</v>
      </c>
      <c r="I10" s="27" t="s">
        <v>1125</v>
      </c>
      <c r="J10" s="7">
        <v>46235</v>
      </c>
      <c r="K10" s="6" t="s">
        <v>1248</v>
      </c>
      <c r="L10" s="6" t="s">
        <v>1030</v>
      </c>
      <c r="M10" s="6" t="s">
        <v>1031</v>
      </c>
      <c r="N10" s="10" t="b">
        <f>FALSE()</f>
        <v>0</v>
      </c>
      <c r="O10" s="7">
        <v>45384</v>
      </c>
      <c r="P10" s="34"/>
    </row>
    <row r="11" spans="1:16" x14ac:dyDescent="0.35">
      <c r="A11" s="5" t="s">
        <v>1264</v>
      </c>
      <c r="B11" s="6" t="s">
        <v>750</v>
      </c>
      <c r="C11" s="6" t="s">
        <v>751</v>
      </c>
      <c r="D11" s="6" t="e">
        <f>VLOOKUP(B:B,'[2]Hakata Island Team'!$E:$G,3,)</f>
        <v>#N/A</v>
      </c>
      <c r="E11" s="6" t="e">
        <f>VLOOKUP(B:B,'[2]Hakata Island Team'!$E:$H,4,)</f>
        <v>#N/A</v>
      </c>
      <c r="F11" s="6" t="s">
        <v>1265</v>
      </c>
      <c r="G11" s="6" t="s">
        <v>1045</v>
      </c>
      <c r="H11" s="10" t="b">
        <f>TRUE()</f>
        <v>1</v>
      </c>
      <c r="I11" s="27" t="s">
        <v>1125</v>
      </c>
      <c r="J11" s="7">
        <v>47907</v>
      </c>
      <c r="K11" s="6" t="s">
        <v>1248</v>
      </c>
      <c r="L11" s="6" t="s">
        <v>1037</v>
      </c>
      <c r="M11" s="6" t="s">
        <v>1266</v>
      </c>
      <c r="N11" s="10" t="b">
        <f>FALSE()</f>
        <v>0</v>
      </c>
      <c r="O11" s="7">
        <v>46099</v>
      </c>
      <c r="P11" s="34"/>
    </row>
    <row r="12" spans="1:16" x14ac:dyDescent="0.35">
      <c r="A12" s="5" t="s">
        <v>1264</v>
      </c>
      <c r="B12" s="6" t="s">
        <v>575</v>
      </c>
      <c r="C12" s="6" t="s">
        <v>1256</v>
      </c>
      <c r="D12" s="6" t="str">
        <f>VLOOKUP(B:B,'[2]Hakata Island Team'!$E:$G,3,)</f>
        <v>Santosh Kulkarni/Ponnappa</v>
      </c>
      <c r="E12" s="6" t="str">
        <f>VLOOKUP(B:B,'[2]Hakata Island Team'!$E:$H,4,)</f>
        <v>SPPL Fleet - F</v>
      </c>
      <c r="F12" s="6" t="s">
        <v>1265</v>
      </c>
      <c r="G12" s="6" t="s">
        <v>1045</v>
      </c>
      <c r="H12" s="10" t="b">
        <f>TRUE()</f>
        <v>1</v>
      </c>
      <c r="I12" s="27" t="s">
        <v>1125</v>
      </c>
      <c r="J12" s="7">
        <v>47787</v>
      </c>
      <c r="K12" s="6" t="s">
        <v>1248</v>
      </c>
      <c r="L12" s="6" t="s">
        <v>1037</v>
      </c>
      <c r="M12" s="6" t="s">
        <v>1267</v>
      </c>
      <c r="N12" s="10" t="b">
        <f>FALSE()</f>
        <v>0</v>
      </c>
      <c r="O12" s="7">
        <v>45973</v>
      </c>
      <c r="P12" s="34"/>
    </row>
    <row r="13" spans="1:16" x14ac:dyDescent="0.35">
      <c r="A13" s="5" t="s">
        <v>1268</v>
      </c>
      <c r="B13" s="6" t="s">
        <v>750</v>
      </c>
      <c r="C13" s="6" t="s">
        <v>751</v>
      </c>
      <c r="D13" s="6" t="e">
        <f>VLOOKUP(B:B,'[2]Hakata Island Team'!$E:$G,3,)</f>
        <v>#N/A</v>
      </c>
      <c r="E13" s="6" t="e">
        <f>VLOOKUP(B:B,'[2]Hakata Island Team'!$E:$H,4,)</f>
        <v>#N/A</v>
      </c>
      <c r="F13" s="6" t="s">
        <v>1269</v>
      </c>
      <c r="G13" s="6" t="s">
        <v>1091</v>
      </c>
      <c r="H13" s="10" t="b">
        <f>TRUE()</f>
        <v>1</v>
      </c>
      <c r="I13" s="27" t="s">
        <v>1125</v>
      </c>
      <c r="J13" s="7">
        <v>46521</v>
      </c>
      <c r="K13" s="6" t="s">
        <v>1248</v>
      </c>
      <c r="L13" s="6" t="s">
        <v>1037</v>
      </c>
      <c r="M13" s="6" t="s">
        <v>1270</v>
      </c>
      <c r="N13" s="10" t="b">
        <f>FALSE()</f>
        <v>0</v>
      </c>
      <c r="O13" s="7">
        <v>46157</v>
      </c>
      <c r="P13" s="34"/>
    </row>
    <row r="14" spans="1:16" x14ac:dyDescent="0.35">
      <c r="A14" s="5" t="s">
        <v>1040</v>
      </c>
      <c r="B14" s="6" t="s">
        <v>1271</v>
      </c>
      <c r="C14" s="6" t="s">
        <v>1272</v>
      </c>
      <c r="D14" s="6" t="str">
        <f>VLOOKUP(B:B,'[2]Hakata Island Team'!$E:$G,3,)</f>
        <v>Anurag Kumar Singh</v>
      </c>
      <c r="E14" s="6" t="str">
        <f>VLOOKUP(B:B,'[2]Hakata Island Team'!$E:$H,4,)</f>
        <v>SPPL Fleet - D</v>
      </c>
      <c r="F14" s="6" t="s">
        <v>1042</v>
      </c>
      <c r="G14" s="6" t="s">
        <v>1045</v>
      </c>
      <c r="H14" s="10" t="b">
        <f>TRUE()</f>
        <v>1</v>
      </c>
      <c r="I14" s="27" t="s">
        <v>1125</v>
      </c>
      <c r="J14" s="7">
        <v>46538</v>
      </c>
      <c r="K14" s="6" t="s">
        <v>1248</v>
      </c>
      <c r="L14" s="6" t="s">
        <v>1037</v>
      </c>
      <c r="M14" s="6" t="s">
        <v>1273</v>
      </c>
      <c r="N14" s="10" t="b">
        <f>FALSE()</f>
        <v>0</v>
      </c>
      <c r="O14" s="7">
        <v>46077</v>
      </c>
      <c r="P14" s="34"/>
    </row>
    <row r="15" spans="1:16" x14ac:dyDescent="0.35">
      <c r="A15" s="5" t="s">
        <v>1040</v>
      </c>
      <c r="B15" s="6" t="s">
        <v>265</v>
      </c>
      <c r="C15" s="6" t="s">
        <v>817</v>
      </c>
      <c r="D15" s="6" t="str">
        <f>VLOOKUP(B:B,'[2]Hakata Island Team'!$E:$G,3,)</f>
        <v>Rupak Chundayil Kalam</v>
      </c>
      <c r="E15" s="6" t="str">
        <f>VLOOKUP(B:B,'[2]Hakata Island Team'!$E:$H,4,)</f>
        <v>SPPL Fleet - B</v>
      </c>
      <c r="F15" s="6" t="s">
        <v>1042</v>
      </c>
      <c r="G15" s="6" t="s">
        <v>1045</v>
      </c>
      <c r="H15" s="10" t="b">
        <f>TRUE()</f>
        <v>1</v>
      </c>
      <c r="I15" s="27" t="s">
        <v>1125</v>
      </c>
      <c r="J15" s="7">
        <v>46538</v>
      </c>
      <c r="K15" s="6" t="s">
        <v>1248</v>
      </c>
      <c r="L15" s="6" t="s">
        <v>1037</v>
      </c>
      <c r="M15" s="6" t="s">
        <v>1274</v>
      </c>
      <c r="N15" s="10" t="b">
        <f>FALSE()</f>
        <v>0</v>
      </c>
      <c r="O15" s="7">
        <v>46090</v>
      </c>
      <c r="P15" s="34"/>
    </row>
    <row r="16" spans="1:16" x14ac:dyDescent="0.35">
      <c r="A16" s="5" t="s">
        <v>1040</v>
      </c>
      <c r="B16" s="6" t="s">
        <v>419</v>
      </c>
      <c r="C16" s="6" t="s">
        <v>732</v>
      </c>
      <c r="D16" s="6" t="str">
        <f>VLOOKUP(B:B,'[2]Hakata Island Team'!$E:$G,3,)</f>
        <v>Rupak Chundayil Kalam</v>
      </c>
      <c r="E16" s="6" t="str">
        <f>VLOOKUP(B:B,'[2]Hakata Island Team'!$E:$H,4,)</f>
        <v>SPPL Fleet - B</v>
      </c>
      <c r="F16" s="6" t="s">
        <v>1042</v>
      </c>
      <c r="G16" s="6" t="s">
        <v>1045</v>
      </c>
      <c r="H16" s="10" t="b">
        <f>TRUE()</f>
        <v>1</v>
      </c>
      <c r="I16" s="27" t="s">
        <v>1125</v>
      </c>
      <c r="J16" s="7">
        <v>46538</v>
      </c>
      <c r="K16" s="6" t="s">
        <v>1248</v>
      </c>
      <c r="L16" s="6" t="s">
        <v>1037</v>
      </c>
      <c r="M16" s="6" t="s">
        <v>1275</v>
      </c>
      <c r="N16" s="10" t="b">
        <f>FALSE()</f>
        <v>0</v>
      </c>
      <c r="O16" s="7">
        <v>46090</v>
      </c>
      <c r="P16" s="34"/>
    </row>
    <row r="17" spans="1:16" x14ac:dyDescent="0.35">
      <c r="A17" s="5" t="s">
        <v>1040</v>
      </c>
      <c r="B17" s="6" t="s">
        <v>1259</v>
      </c>
      <c r="C17" s="6" t="s">
        <v>1260</v>
      </c>
      <c r="D17" s="6" t="str">
        <f>VLOOKUP(B:B,'[2]Hakata Island Team'!$E:$G,3,)</f>
        <v>Rupak Chundayil Kalam</v>
      </c>
      <c r="E17" s="6" t="str">
        <f>VLOOKUP(B:B,'[2]Hakata Island Team'!$E:$H,4,)</f>
        <v>SPPL Fleet - B</v>
      </c>
      <c r="F17" s="6" t="s">
        <v>1042</v>
      </c>
      <c r="G17" s="6" t="s">
        <v>1045</v>
      </c>
      <c r="H17" s="10" t="b">
        <f>TRUE()</f>
        <v>1</v>
      </c>
      <c r="I17" s="27" t="s">
        <v>1125</v>
      </c>
      <c r="J17" s="7">
        <v>46538</v>
      </c>
      <c r="K17" s="6" t="s">
        <v>1248</v>
      </c>
      <c r="L17" s="6" t="s">
        <v>1037</v>
      </c>
      <c r="M17" s="6" t="s">
        <v>1276</v>
      </c>
      <c r="N17" s="10" t="b">
        <f>FALSE()</f>
        <v>0</v>
      </c>
      <c r="O17" s="7">
        <v>46090</v>
      </c>
      <c r="P17" s="34"/>
    </row>
    <row r="18" spans="1:16" x14ac:dyDescent="0.35">
      <c r="A18" s="5" t="s">
        <v>1040</v>
      </c>
      <c r="B18" s="6" t="s">
        <v>51</v>
      </c>
      <c r="C18" s="6" t="s">
        <v>1277</v>
      </c>
      <c r="D18" s="6" t="str">
        <f>VLOOKUP(B:B,'[2]Hakata Island Team'!$E:$G,3,)</f>
        <v>Rupak Chundayil Kalam</v>
      </c>
      <c r="E18" s="6" t="str">
        <f>VLOOKUP(B:B,'[2]Hakata Island Team'!$E:$H,4,)</f>
        <v>SPPL Fleet - B</v>
      </c>
      <c r="F18" s="6" t="s">
        <v>1042</v>
      </c>
      <c r="G18" s="6" t="s">
        <v>1045</v>
      </c>
      <c r="H18" s="10" t="b">
        <f>TRUE()</f>
        <v>1</v>
      </c>
      <c r="I18" s="27" t="s">
        <v>1125</v>
      </c>
      <c r="J18" s="7">
        <v>46538</v>
      </c>
      <c r="K18" s="6" t="s">
        <v>1248</v>
      </c>
      <c r="L18" s="6" t="s">
        <v>1037</v>
      </c>
      <c r="M18" s="6" t="s">
        <v>1278</v>
      </c>
      <c r="N18" s="10" t="b">
        <f>FALSE()</f>
        <v>0</v>
      </c>
      <c r="O18" s="7">
        <v>46022</v>
      </c>
      <c r="P18" s="34"/>
    </row>
    <row r="19" spans="1:16" x14ac:dyDescent="0.35">
      <c r="A19" s="5" t="s">
        <v>1279</v>
      </c>
      <c r="B19" s="6" t="s">
        <v>750</v>
      </c>
      <c r="C19" s="6" t="s">
        <v>751</v>
      </c>
      <c r="D19" s="6" t="e">
        <f>VLOOKUP(B:B,'[2]Hakata Island Team'!$E:$G,3,)</f>
        <v>#N/A</v>
      </c>
      <c r="E19" s="6" t="e">
        <f>VLOOKUP(B:B,'[2]Hakata Island Team'!$E:$H,4,)</f>
        <v>#N/A</v>
      </c>
      <c r="F19" s="6" t="s">
        <v>1280</v>
      </c>
      <c r="G19" s="6" t="s">
        <v>1045</v>
      </c>
      <c r="H19" s="10" t="b">
        <f>TRUE()</f>
        <v>1</v>
      </c>
      <c r="I19" s="27" t="s">
        <v>1125</v>
      </c>
      <c r="J19" s="7">
        <v>47562</v>
      </c>
      <c r="K19" s="6" t="s">
        <v>1248</v>
      </c>
      <c r="L19" s="6" t="s">
        <v>1037</v>
      </c>
      <c r="M19" s="6" t="s">
        <v>1281</v>
      </c>
      <c r="N19" s="10" t="b">
        <f>TRUE()</f>
        <v>1</v>
      </c>
      <c r="O19" s="7">
        <v>45806</v>
      </c>
      <c r="P19" s="34"/>
    </row>
    <row r="20" spans="1:16" x14ac:dyDescent="0.35">
      <c r="A20" s="5" t="s">
        <v>1282</v>
      </c>
      <c r="B20" s="6" t="s">
        <v>750</v>
      </c>
      <c r="C20" s="6" t="s">
        <v>751</v>
      </c>
      <c r="D20" s="6" t="e">
        <f>VLOOKUP(B:B,'[2]Hakata Island Team'!$E:$G,3,)</f>
        <v>#N/A</v>
      </c>
      <c r="E20" s="6" t="e">
        <f>VLOOKUP(B:B,'[2]Hakata Island Team'!$E:$H,4,)</f>
        <v>#N/A</v>
      </c>
      <c r="F20" s="6" t="s">
        <v>1283</v>
      </c>
      <c r="G20" s="6" t="s">
        <v>1136</v>
      </c>
      <c r="H20" s="10" t="b">
        <f>TRUE()</f>
        <v>1</v>
      </c>
      <c r="I20" s="27" t="s">
        <v>1125</v>
      </c>
      <c r="J20" s="7"/>
      <c r="K20" s="6" t="s">
        <v>1284</v>
      </c>
      <c r="L20" s="6" t="s">
        <v>1037</v>
      </c>
      <c r="M20" s="6" t="s">
        <v>1285</v>
      </c>
      <c r="N20" s="10" t="b">
        <f>FALSE()</f>
        <v>0</v>
      </c>
      <c r="O20" s="7">
        <v>46157</v>
      </c>
      <c r="P20" s="34"/>
    </row>
    <row r="21" spans="1:16" x14ac:dyDescent="0.35">
      <c r="A21" s="5" t="s">
        <v>1286</v>
      </c>
      <c r="B21" s="6" t="s">
        <v>273</v>
      </c>
      <c r="C21" s="6" t="s">
        <v>1287</v>
      </c>
      <c r="D21" s="6" t="str">
        <f>VLOOKUP(B:B,'[2]Hakata Island Team'!$E:$G,3,)</f>
        <v>Umesh Sasle</v>
      </c>
      <c r="E21" s="6" t="str">
        <f>VLOOKUP(B:B,'[2]Hakata Island Team'!$E:$H,4,)</f>
        <v>SPPL Fleet - F</v>
      </c>
      <c r="F21" s="6" t="s">
        <v>1288</v>
      </c>
      <c r="G21" s="6" t="s">
        <v>1045</v>
      </c>
      <c r="H21" s="10" t="b">
        <f>TRUE()</f>
        <v>1</v>
      </c>
      <c r="I21" s="27" t="s">
        <v>1125</v>
      </c>
      <c r="J21" s="7">
        <v>46918</v>
      </c>
      <c r="K21" s="6" t="s">
        <v>1248</v>
      </c>
      <c r="L21" s="6" t="s">
        <v>1037</v>
      </c>
      <c r="M21" s="6" t="s">
        <v>1289</v>
      </c>
      <c r="N21" s="10" t="b">
        <f>FALSE()</f>
        <v>0</v>
      </c>
      <c r="O21" s="7">
        <v>46158</v>
      </c>
      <c r="P21" s="34"/>
    </row>
    <row r="22" spans="1:16" x14ac:dyDescent="0.35">
      <c r="A22" s="5" t="s">
        <v>1286</v>
      </c>
      <c r="B22" s="6" t="s">
        <v>750</v>
      </c>
      <c r="C22" s="6" t="s">
        <v>751</v>
      </c>
      <c r="D22" s="6" t="e">
        <f>VLOOKUP(B:B,'[2]Hakata Island Team'!$E:$G,3,)</f>
        <v>#N/A</v>
      </c>
      <c r="E22" s="6" t="e">
        <f>VLOOKUP(B:B,'[2]Hakata Island Team'!$E:$H,4,)</f>
        <v>#N/A</v>
      </c>
      <c r="F22" s="6" t="s">
        <v>1288</v>
      </c>
      <c r="G22" s="6" t="s">
        <v>1045</v>
      </c>
      <c r="H22" s="10" t="b">
        <f>TRUE()</f>
        <v>1</v>
      </c>
      <c r="I22" s="27" t="s">
        <v>1125</v>
      </c>
      <c r="J22" s="7">
        <v>47982</v>
      </c>
      <c r="K22" s="6" t="s">
        <v>1248</v>
      </c>
      <c r="L22" s="6" t="s">
        <v>1037</v>
      </c>
      <c r="M22" s="6" t="s">
        <v>1290</v>
      </c>
      <c r="N22" s="10" t="b">
        <f>TRUE()</f>
        <v>1</v>
      </c>
      <c r="O22" s="7">
        <v>46157</v>
      </c>
      <c r="P22" s="34"/>
    </row>
    <row r="23" spans="1:16" x14ac:dyDescent="0.35">
      <c r="A23" s="5" t="s">
        <v>1286</v>
      </c>
      <c r="B23" s="6" t="s">
        <v>1291</v>
      </c>
      <c r="C23" s="6" t="s">
        <v>1292</v>
      </c>
      <c r="D23" s="6" t="str">
        <f>VLOOKUP(B:B,'[2]Hakata Island Team'!$E:$G,3,)</f>
        <v>Vinoth Kumar R</v>
      </c>
      <c r="E23" s="6" t="str">
        <f>VLOOKUP(B:B,'[2]Hakata Island Team'!$E:$H,4,)</f>
        <v xml:space="preserve">SPPL Fleet - A </v>
      </c>
      <c r="F23" s="6" t="s">
        <v>1288</v>
      </c>
      <c r="G23" s="6" t="s">
        <v>1045</v>
      </c>
      <c r="H23" s="10" t="b">
        <f>TRUE()</f>
        <v>1</v>
      </c>
      <c r="I23" s="27" t="s">
        <v>1125</v>
      </c>
      <c r="J23" s="7">
        <v>46542</v>
      </c>
      <c r="K23" s="6" t="s">
        <v>1248</v>
      </c>
      <c r="L23" s="6" t="s">
        <v>1037</v>
      </c>
      <c r="M23" s="6" t="s">
        <v>1293</v>
      </c>
      <c r="N23" s="10" t="b">
        <f>TRUE()</f>
        <v>1</v>
      </c>
      <c r="O23" s="7">
        <v>46177</v>
      </c>
      <c r="P23" s="34"/>
    </row>
    <row r="24" spans="1:16" x14ac:dyDescent="0.35">
      <c r="A24" s="5" t="s">
        <v>1294</v>
      </c>
      <c r="B24" s="6" t="s">
        <v>113</v>
      </c>
      <c r="C24" s="6" t="s">
        <v>826</v>
      </c>
      <c r="D24" s="6" t="str">
        <f>VLOOKUP(B:B,'[2]Hakata Island Team'!$E:$G,3,)</f>
        <v>Rupak Chundayil Kalam</v>
      </c>
      <c r="E24" s="6" t="str">
        <f>VLOOKUP(B:B,'[2]Hakata Island Team'!$E:$H,4,)</f>
        <v>SPPL Fleet - B</v>
      </c>
      <c r="F24" s="6" t="s">
        <v>1295</v>
      </c>
      <c r="G24" s="6" t="s">
        <v>1045</v>
      </c>
      <c r="H24" s="10" t="b">
        <f>TRUE()</f>
        <v>1</v>
      </c>
      <c r="I24" s="27" t="s">
        <v>1125</v>
      </c>
      <c r="J24" s="7">
        <v>46527</v>
      </c>
      <c r="K24" s="6" t="s">
        <v>1248</v>
      </c>
      <c r="L24" s="6" t="s">
        <v>1037</v>
      </c>
      <c r="M24" s="6" t="s">
        <v>1296</v>
      </c>
      <c r="N24" s="10" t="b">
        <f>FALSE()</f>
        <v>0</v>
      </c>
      <c r="O24" s="7">
        <v>45067</v>
      </c>
      <c r="P24" s="34"/>
    </row>
    <row r="25" spans="1:16" x14ac:dyDescent="0.35">
      <c r="A25" s="5" t="s">
        <v>1297</v>
      </c>
      <c r="B25" s="6" t="s">
        <v>273</v>
      </c>
      <c r="C25" s="6" t="s">
        <v>1287</v>
      </c>
      <c r="D25" s="6" t="str">
        <f>VLOOKUP(B:B,'[2]Hakata Island Team'!$E:$G,3,)</f>
        <v>Umesh Sasle</v>
      </c>
      <c r="E25" s="6" t="str">
        <f>VLOOKUP(B:B,'[2]Hakata Island Team'!$E:$H,4,)</f>
        <v>SPPL Fleet - F</v>
      </c>
      <c r="F25" s="6" t="s">
        <v>1298</v>
      </c>
      <c r="G25" s="6" t="s">
        <v>1045</v>
      </c>
      <c r="H25" s="10" t="b">
        <f>TRUE()</f>
        <v>1</v>
      </c>
      <c r="I25" s="27" t="s">
        <v>1125</v>
      </c>
      <c r="J25" s="7">
        <v>46918</v>
      </c>
      <c r="K25" s="6" t="s">
        <v>1248</v>
      </c>
      <c r="L25" s="6" t="s">
        <v>1037</v>
      </c>
      <c r="M25" s="6" t="s">
        <v>1299</v>
      </c>
      <c r="N25" s="10" t="b">
        <f>FALSE()</f>
        <v>0</v>
      </c>
      <c r="O25" s="7">
        <v>46158</v>
      </c>
      <c r="P25" s="34"/>
    </row>
    <row r="26" spans="1:16" x14ac:dyDescent="0.35">
      <c r="A26" s="5" t="s">
        <v>1297</v>
      </c>
      <c r="B26" s="6" t="s">
        <v>750</v>
      </c>
      <c r="C26" s="6" t="s">
        <v>751</v>
      </c>
      <c r="D26" s="6" t="e">
        <f>VLOOKUP(B:B,'[2]Hakata Island Team'!$E:$G,3,)</f>
        <v>#N/A</v>
      </c>
      <c r="E26" s="6" t="e">
        <f>VLOOKUP(B:B,'[2]Hakata Island Team'!$E:$H,4,)</f>
        <v>#N/A</v>
      </c>
      <c r="F26" s="6" t="s">
        <v>1298</v>
      </c>
      <c r="G26" s="6" t="s">
        <v>1045</v>
      </c>
      <c r="H26" s="10" t="b">
        <f>TRUE()</f>
        <v>1</v>
      </c>
      <c r="I26" s="27" t="s">
        <v>1125</v>
      </c>
      <c r="J26" s="7">
        <v>47982</v>
      </c>
      <c r="K26" s="6" t="s">
        <v>1248</v>
      </c>
      <c r="L26" s="6" t="s">
        <v>1037</v>
      </c>
      <c r="M26" s="6" t="s">
        <v>1300</v>
      </c>
      <c r="N26" s="10" t="b">
        <f>TRUE()</f>
        <v>1</v>
      </c>
      <c r="O26" s="7">
        <v>46157</v>
      </c>
      <c r="P26" s="34"/>
    </row>
    <row r="27" spans="1:16" x14ac:dyDescent="0.35">
      <c r="A27" s="5" t="s">
        <v>1297</v>
      </c>
      <c r="B27" s="6" t="s">
        <v>113</v>
      </c>
      <c r="C27" s="6" t="s">
        <v>826</v>
      </c>
      <c r="D27" s="6" t="str">
        <f>VLOOKUP(B:B,'[2]Hakata Island Team'!$E:$G,3,)</f>
        <v>Rupak Chundayil Kalam</v>
      </c>
      <c r="E27" s="6" t="str">
        <f>VLOOKUP(B:B,'[2]Hakata Island Team'!$E:$H,4,)</f>
        <v>SPPL Fleet - B</v>
      </c>
      <c r="F27" s="6" t="s">
        <v>1298</v>
      </c>
      <c r="G27" s="6" t="s">
        <v>1045</v>
      </c>
      <c r="H27" s="10" t="b">
        <f>TRUE()</f>
        <v>1</v>
      </c>
      <c r="I27" s="27" t="s">
        <v>1125</v>
      </c>
      <c r="J27" s="7">
        <v>46903</v>
      </c>
      <c r="K27" s="6" t="s">
        <v>1248</v>
      </c>
      <c r="L27" s="6" t="s">
        <v>1037</v>
      </c>
      <c r="M27" s="6" t="s">
        <v>1301</v>
      </c>
      <c r="N27" s="10" t="b">
        <f>TRUE()</f>
        <v>1</v>
      </c>
      <c r="O27" s="7">
        <v>45099</v>
      </c>
      <c r="P27" s="34"/>
    </row>
    <row r="28" spans="1:16" x14ac:dyDescent="0.35">
      <c r="A28" s="5" t="s">
        <v>1302</v>
      </c>
      <c r="B28" s="6" t="s">
        <v>273</v>
      </c>
      <c r="C28" s="6" t="s">
        <v>1287</v>
      </c>
      <c r="D28" s="6" t="str">
        <f>VLOOKUP(B:B,'[2]Hakata Island Team'!$E:$G,3,)</f>
        <v>Umesh Sasle</v>
      </c>
      <c r="E28" s="6" t="str">
        <f>VLOOKUP(B:B,'[2]Hakata Island Team'!$E:$H,4,)</f>
        <v>SPPL Fleet - F</v>
      </c>
      <c r="F28" s="6" t="s">
        <v>1303</v>
      </c>
      <c r="G28" s="6" t="s">
        <v>1045</v>
      </c>
      <c r="H28" s="10" t="b">
        <f>TRUE()</f>
        <v>1</v>
      </c>
      <c r="I28" s="27" t="s">
        <v>1125</v>
      </c>
      <c r="J28" s="7">
        <v>46918</v>
      </c>
      <c r="K28" s="6" t="s">
        <v>1248</v>
      </c>
      <c r="L28" s="6" t="s">
        <v>1037</v>
      </c>
      <c r="M28" s="6" t="s">
        <v>1304</v>
      </c>
      <c r="N28" s="10" t="b">
        <f>FALSE()</f>
        <v>0</v>
      </c>
      <c r="O28" s="7">
        <v>46158</v>
      </c>
      <c r="P28" s="34"/>
    </row>
    <row r="29" spans="1:16" x14ac:dyDescent="0.35">
      <c r="A29" s="5" t="s">
        <v>1302</v>
      </c>
      <c r="B29" s="6" t="s">
        <v>750</v>
      </c>
      <c r="C29" s="6" t="s">
        <v>751</v>
      </c>
      <c r="D29" s="6" t="e">
        <f>VLOOKUP(B:B,'[2]Hakata Island Team'!$E:$G,3,)</f>
        <v>#N/A</v>
      </c>
      <c r="E29" s="6" t="e">
        <f>VLOOKUP(B:B,'[2]Hakata Island Team'!$E:$H,4,)</f>
        <v>#N/A</v>
      </c>
      <c r="F29" s="6" t="s">
        <v>1303</v>
      </c>
      <c r="G29" s="6" t="s">
        <v>1045</v>
      </c>
      <c r="H29" s="10" t="b">
        <f>TRUE()</f>
        <v>1</v>
      </c>
      <c r="I29" s="27" t="s">
        <v>1125</v>
      </c>
      <c r="J29" s="7">
        <v>47982</v>
      </c>
      <c r="K29" s="6" t="s">
        <v>1248</v>
      </c>
      <c r="L29" s="6" t="s">
        <v>1037</v>
      </c>
      <c r="M29" s="6" t="s">
        <v>1305</v>
      </c>
      <c r="N29" s="10" t="b">
        <f>FALSE()</f>
        <v>0</v>
      </c>
      <c r="O29" s="7">
        <v>46157</v>
      </c>
      <c r="P29" s="34"/>
    </row>
    <row r="30" spans="1:16" x14ac:dyDescent="0.35">
      <c r="A30" s="5" t="s">
        <v>1306</v>
      </c>
      <c r="B30" s="6" t="s">
        <v>570</v>
      </c>
      <c r="C30" s="6" t="s">
        <v>1246</v>
      </c>
      <c r="D30" s="6" t="str">
        <f>VLOOKUP(B:B,'[2]Hakata Island Team'!$E:$G,3,)</f>
        <v>Vidyadhar Vaidya</v>
      </c>
      <c r="E30" s="6" t="str">
        <f>VLOOKUP(B:B,'[2]Hakata Island Team'!$E:$H,4,)</f>
        <v>SPPL Fleet - E</v>
      </c>
      <c r="F30" s="6" t="s">
        <v>1307</v>
      </c>
      <c r="G30" s="6" t="s">
        <v>1045</v>
      </c>
      <c r="H30" s="10" t="b">
        <f>TRUE()</f>
        <v>1</v>
      </c>
      <c r="I30" s="27" t="s">
        <v>1125</v>
      </c>
      <c r="J30" s="7">
        <v>46552</v>
      </c>
      <c r="K30" s="6" t="s">
        <v>1248</v>
      </c>
      <c r="L30" s="6" t="s">
        <v>1037</v>
      </c>
      <c r="M30" s="6" t="s">
        <v>1308</v>
      </c>
      <c r="N30" s="10" t="b">
        <f>FALSE()</f>
        <v>0</v>
      </c>
      <c r="O30" s="7">
        <v>44668</v>
      </c>
      <c r="P30" s="34"/>
    </row>
    <row r="31" spans="1:16" x14ac:dyDescent="0.35">
      <c r="A31" s="5" t="s">
        <v>1309</v>
      </c>
      <c r="B31" s="6" t="s">
        <v>750</v>
      </c>
      <c r="C31" s="6" t="s">
        <v>751</v>
      </c>
      <c r="D31" s="6" t="e">
        <f>VLOOKUP(B:B,'[2]Hakata Island Team'!$E:$G,3,)</f>
        <v>#N/A</v>
      </c>
      <c r="E31" s="6" t="e">
        <f>VLOOKUP(B:B,'[2]Hakata Island Team'!$E:$H,4,)</f>
        <v>#N/A</v>
      </c>
      <c r="F31" s="6" t="s">
        <v>1310</v>
      </c>
      <c r="G31" s="6" t="s">
        <v>1136</v>
      </c>
      <c r="H31" s="10" t="b">
        <f>TRUE()</f>
        <v>1</v>
      </c>
      <c r="I31" s="27" t="s">
        <v>1125</v>
      </c>
      <c r="J31" s="7">
        <v>47982</v>
      </c>
      <c r="K31" s="6" t="s">
        <v>1248</v>
      </c>
      <c r="L31" s="6" t="s">
        <v>1037</v>
      </c>
      <c r="M31" s="6" t="s">
        <v>1311</v>
      </c>
      <c r="N31" s="10" t="b">
        <f>TRUE()</f>
        <v>1</v>
      </c>
      <c r="O31" s="7">
        <v>46157</v>
      </c>
      <c r="P31" s="34"/>
    </row>
    <row r="32" spans="1:16" x14ac:dyDescent="0.35">
      <c r="A32" s="5" t="s">
        <v>1312</v>
      </c>
      <c r="B32" s="6" t="s">
        <v>750</v>
      </c>
      <c r="C32" s="6" t="s">
        <v>751</v>
      </c>
      <c r="D32" s="6" t="e">
        <f>VLOOKUP(B:B,'[2]Hakata Island Team'!$E:$G,3,)</f>
        <v>#N/A</v>
      </c>
      <c r="E32" s="6" t="e">
        <f>VLOOKUP(B:B,'[2]Hakata Island Team'!$E:$H,4,)</f>
        <v>#N/A</v>
      </c>
      <c r="F32" s="6" t="s">
        <v>1313</v>
      </c>
      <c r="G32" s="6" t="s">
        <v>1045</v>
      </c>
      <c r="H32" s="10" t="b">
        <f>TRUE()</f>
        <v>1</v>
      </c>
      <c r="I32" s="27" t="s">
        <v>1125</v>
      </c>
      <c r="J32" s="7">
        <v>47982</v>
      </c>
      <c r="K32" s="6" t="s">
        <v>1248</v>
      </c>
      <c r="L32" s="6" t="s">
        <v>1037</v>
      </c>
      <c r="M32" s="6" t="s">
        <v>1314</v>
      </c>
      <c r="N32" s="10" t="b">
        <f>FALSE()</f>
        <v>0</v>
      </c>
      <c r="O32" s="7">
        <v>46157</v>
      </c>
      <c r="P32" s="34"/>
    </row>
    <row r="33" spans="1:16" x14ac:dyDescent="0.35">
      <c r="A33" s="5" t="s">
        <v>1315</v>
      </c>
      <c r="B33" s="6" t="s">
        <v>273</v>
      </c>
      <c r="C33" s="6" t="s">
        <v>1287</v>
      </c>
      <c r="D33" s="6" t="str">
        <f>VLOOKUP(B:B,'[2]Hakata Island Team'!$E:$G,3,)</f>
        <v>Umesh Sasle</v>
      </c>
      <c r="E33" s="6" t="str">
        <f>VLOOKUP(B:B,'[2]Hakata Island Team'!$E:$H,4,)</f>
        <v>SPPL Fleet - F</v>
      </c>
      <c r="F33" s="6" t="s">
        <v>1316</v>
      </c>
      <c r="G33" s="6" t="s">
        <v>1045</v>
      </c>
      <c r="H33" s="10" t="b">
        <f>TRUE()</f>
        <v>1</v>
      </c>
      <c r="I33" s="27" t="s">
        <v>1125</v>
      </c>
      <c r="J33" s="7">
        <v>46918</v>
      </c>
      <c r="K33" s="6" t="s">
        <v>1248</v>
      </c>
      <c r="L33" s="6" t="s">
        <v>1037</v>
      </c>
      <c r="M33" s="6" t="s">
        <v>1317</v>
      </c>
      <c r="N33" s="10" t="b">
        <f>FALSE()</f>
        <v>0</v>
      </c>
      <c r="O33" s="7">
        <v>46158</v>
      </c>
      <c r="P33" s="34"/>
    </row>
    <row r="34" spans="1:16" x14ac:dyDescent="0.35">
      <c r="A34" s="5" t="s">
        <v>1318</v>
      </c>
      <c r="B34" s="6" t="s">
        <v>750</v>
      </c>
      <c r="C34" s="6" t="s">
        <v>751</v>
      </c>
      <c r="D34" s="6" t="e">
        <f>VLOOKUP(B:B,'[2]Hakata Island Team'!$E:$G,3,)</f>
        <v>#N/A</v>
      </c>
      <c r="E34" s="6" t="e">
        <f>VLOOKUP(B:B,'[2]Hakata Island Team'!$E:$H,4,)</f>
        <v>#N/A</v>
      </c>
      <c r="F34" s="6" t="s">
        <v>1319</v>
      </c>
      <c r="G34" s="6" t="s">
        <v>1045</v>
      </c>
      <c r="H34" s="10" t="b">
        <f>TRUE()</f>
        <v>1</v>
      </c>
      <c r="I34" s="27" t="s">
        <v>1125</v>
      </c>
      <c r="J34" s="7">
        <v>47982</v>
      </c>
      <c r="K34" s="6" t="s">
        <v>1248</v>
      </c>
      <c r="L34" s="6" t="s">
        <v>1037</v>
      </c>
      <c r="M34" s="6" t="s">
        <v>1320</v>
      </c>
      <c r="N34" s="10" t="b">
        <f>FALSE()</f>
        <v>0</v>
      </c>
      <c r="O34" s="7">
        <v>46157</v>
      </c>
      <c r="P34" s="34"/>
    </row>
    <row r="35" spans="1:16" x14ac:dyDescent="0.35">
      <c r="A35" s="5" t="s">
        <v>1321</v>
      </c>
      <c r="B35" s="6" t="s">
        <v>273</v>
      </c>
      <c r="C35" s="6" t="s">
        <v>1287</v>
      </c>
      <c r="D35" s="6" t="str">
        <f>VLOOKUP(B:B,'[2]Hakata Island Team'!$E:$G,3,)</f>
        <v>Umesh Sasle</v>
      </c>
      <c r="E35" s="6" t="str">
        <f>VLOOKUP(B:B,'[2]Hakata Island Team'!$E:$H,4,)</f>
        <v>SPPL Fleet - F</v>
      </c>
      <c r="F35" s="6" t="s">
        <v>1322</v>
      </c>
      <c r="G35" s="6" t="s">
        <v>1045</v>
      </c>
      <c r="H35" s="10" t="b">
        <f>TRUE()</f>
        <v>1</v>
      </c>
      <c r="I35" s="27" t="s">
        <v>1125</v>
      </c>
      <c r="J35" s="7">
        <v>46918</v>
      </c>
      <c r="K35" s="6" t="s">
        <v>1248</v>
      </c>
      <c r="L35" s="6" t="s">
        <v>1037</v>
      </c>
      <c r="M35" s="6" t="s">
        <v>1323</v>
      </c>
      <c r="N35" s="10" t="b">
        <f>TRUE()</f>
        <v>1</v>
      </c>
      <c r="O35" s="7">
        <v>46158</v>
      </c>
      <c r="P35" s="34"/>
    </row>
    <row r="36" spans="1:16" x14ac:dyDescent="0.35">
      <c r="A36" s="5" t="s">
        <v>1324</v>
      </c>
      <c r="B36" s="6" t="s">
        <v>273</v>
      </c>
      <c r="C36" s="6" t="s">
        <v>1287</v>
      </c>
      <c r="D36" s="6" t="str">
        <f>VLOOKUP(B:B,'[2]Hakata Island Team'!$E:$G,3,)</f>
        <v>Umesh Sasle</v>
      </c>
      <c r="E36" s="6" t="str">
        <f>VLOOKUP(B:B,'[2]Hakata Island Team'!$E:$H,4,)</f>
        <v>SPPL Fleet - F</v>
      </c>
      <c r="F36" s="6" t="s">
        <v>1325</v>
      </c>
      <c r="G36" s="6" t="s">
        <v>1045</v>
      </c>
      <c r="H36" s="10" t="b">
        <f>TRUE()</f>
        <v>1</v>
      </c>
      <c r="I36" s="27" t="s">
        <v>1125</v>
      </c>
      <c r="J36" s="7">
        <v>46918</v>
      </c>
      <c r="K36" s="6" t="s">
        <v>1248</v>
      </c>
      <c r="L36" s="6" t="s">
        <v>1037</v>
      </c>
      <c r="M36" s="6" t="s">
        <v>1326</v>
      </c>
      <c r="N36" s="10" t="b">
        <f>FALSE()</f>
        <v>0</v>
      </c>
      <c r="O36" s="7">
        <v>46178</v>
      </c>
      <c r="P36" s="34"/>
    </row>
    <row r="37" spans="1:16" x14ac:dyDescent="0.35">
      <c r="A37" s="5" t="s">
        <v>1324</v>
      </c>
      <c r="B37" s="6" t="s">
        <v>750</v>
      </c>
      <c r="C37" s="6" t="s">
        <v>751</v>
      </c>
      <c r="D37" s="6" t="e">
        <f>VLOOKUP(B:B,'[2]Hakata Island Team'!$E:$G,3,)</f>
        <v>#N/A</v>
      </c>
      <c r="E37" s="6" t="e">
        <f>VLOOKUP(B:B,'[2]Hakata Island Team'!$E:$H,4,)</f>
        <v>#N/A</v>
      </c>
      <c r="F37" s="6" t="s">
        <v>1325</v>
      </c>
      <c r="G37" s="6" t="s">
        <v>1045</v>
      </c>
      <c r="H37" s="10" t="b">
        <f>TRUE()</f>
        <v>1</v>
      </c>
      <c r="I37" s="27" t="s">
        <v>1125</v>
      </c>
      <c r="J37" s="7">
        <v>47982</v>
      </c>
      <c r="K37" s="6" t="s">
        <v>1248</v>
      </c>
      <c r="L37" s="6" t="s">
        <v>1037</v>
      </c>
      <c r="M37" s="6" t="s">
        <v>1327</v>
      </c>
      <c r="N37" s="10" t="b">
        <f>TRUE()</f>
        <v>1</v>
      </c>
      <c r="O37" s="7">
        <v>46157</v>
      </c>
      <c r="P37" s="34"/>
    </row>
    <row r="38" spans="1:16" x14ac:dyDescent="0.35">
      <c r="A38" s="5" t="s">
        <v>1328</v>
      </c>
      <c r="B38" s="6" t="s">
        <v>1233</v>
      </c>
      <c r="C38" s="6" t="s">
        <v>1234</v>
      </c>
      <c r="D38" s="6" t="str">
        <f>VLOOKUP(B:B,'[2]Hakata Island Team'!$E:$G,3,)</f>
        <v>Manikandan Ayyappan</v>
      </c>
      <c r="E38" s="6" t="str">
        <f>VLOOKUP(B:B,'[2]Hakata Island Team'!$E:$H,4,)</f>
        <v>SPPL Fleet - G</v>
      </c>
      <c r="F38" s="6" t="s">
        <v>1329</v>
      </c>
      <c r="G38" s="6" t="s">
        <v>1127</v>
      </c>
      <c r="H38" s="10" t="b">
        <f>TRUE()</f>
        <v>1</v>
      </c>
      <c r="I38" s="27" t="s">
        <v>1125</v>
      </c>
      <c r="J38" s="7">
        <v>46280</v>
      </c>
      <c r="K38" s="6" t="s">
        <v>1248</v>
      </c>
      <c r="L38" s="6" t="s">
        <v>1037</v>
      </c>
      <c r="M38" s="6" t="s">
        <v>1330</v>
      </c>
      <c r="N38" s="10" t="b">
        <f>FALSE()</f>
        <v>0</v>
      </c>
      <c r="O38" s="7">
        <v>46183</v>
      </c>
      <c r="P38" s="34"/>
    </row>
    <row r="39" spans="1:16" x14ac:dyDescent="0.35">
      <c r="A39" s="5" t="s">
        <v>1328</v>
      </c>
      <c r="B39" s="6" t="s">
        <v>273</v>
      </c>
      <c r="C39" s="6" t="s">
        <v>1287</v>
      </c>
      <c r="D39" s="6" t="str">
        <f>VLOOKUP(B:B,'[2]Hakata Island Team'!$E:$G,3,)</f>
        <v>Umesh Sasle</v>
      </c>
      <c r="E39" s="6" t="str">
        <f>VLOOKUP(B:B,'[2]Hakata Island Team'!$E:$H,4,)</f>
        <v>SPPL Fleet - F</v>
      </c>
      <c r="F39" s="6" t="s">
        <v>1329</v>
      </c>
      <c r="G39" s="6" t="s">
        <v>1045</v>
      </c>
      <c r="H39" s="10" t="b">
        <f>TRUE()</f>
        <v>1</v>
      </c>
      <c r="I39" s="27" t="s">
        <v>1125</v>
      </c>
      <c r="J39" s="7">
        <v>46918</v>
      </c>
      <c r="K39" s="6" t="s">
        <v>1248</v>
      </c>
      <c r="L39" s="6" t="s">
        <v>1037</v>
      </c>
      <c r="M39" s="6" t="s">
        <v>1331</v>
      </c>
      <c r="N39" s="10" t="b">
        <f>TRUE()</f>
        <v>1</v>
      </c>
      <c r="O39" s="7">
        <v>46158</v>
      </c>
      <c r="P39" s="34"/>
    </row>
    <row r="40" spans="1:16" x14ac:dyDescent="0.35">
      <c r="A40" s="5" t="s">
        <v>1328</v>
      </c>
      <c r="B40" s="6" t="s">
        <v>750</v>
      </c>
      <c r="C40" s="6" t="s">
        <v>751</v>
      </c>
      <c r="D40" s="6" t="e">
        <f>VLOOKUP(B:B,'[2]Hakata Island Team'!$E:$G,3,)</f>
        <v>#N/A</v>
      </c>
      <c r="E40" s="6" t="e">
        <f>VLOOKUP(B:B,'[2]Hakata Island Team'!$E:$H,4,)</f>
        <v>#N/A</v>
      </c>
      <c r="F40" s="6" t="s">
        <v>1329</v>
      </c>
      <c r="G40" s="6" t="s">
        <v>1045</v>
      </c>
      <c r="H40" s="10" t="b">
        <f>TRUE()</f>
        <v>1</v>
      </c>
      <c r="I40" s="27" t="s">
        <v>1125</v>
      </c>
      <c r="J40" s="7">
        <v>47982</v>
      </c>
      <c r="K40" s="6" t="s">
        <v>1248</v>
      </c>
      <c r="L40" s="6" t="s">
        <v>1037</v>
      </c>
      <c r="M40" s="6" t="s">
        <v>1332</v>
      </c>
      <c r="N40" s="10" t="b">
        <f>TRUE()</f>
        <v>1</v>
      </c>
      <c r="O40" s="7">
        <v>46157</v>
      </c>
      <c r="P40" s="34"/>
    </row>
    <row r="41" spans="1:16" x14ac:dyDescent="0.35">
      <c r="A41" s="5" t="s">
        <v>1328</v>
      </c>
      <c r="B41" s="6" t="s">
        <v>1291</v>
      </c>
      <c r="C41" s="6" t="s">
        <v>1292</v>
      </c>
      <c r="D41" s="6" t="str">
        <f>VLOOKUP(B:B,'[2]Hakata Island Team'!$E:$G,3,)</f>
        <v>Vinoth Kumar R</v>
      </c>
      <c r="E41" s="6" t="str">
        <f>VLOOKUP(B:B,'[2]Hakata Island Team'!$E:$H,4,)</f>
        <v xml:space="preserve">SPPL Fleet - A </v>
      </c>
      <c r="F41" s="6" t="s">
        <v>1329</v>
      </c>
      <c r="G41" s="6" t="s">
        <v>1045</v>
      </c>
      <c r="H41" s="10" t="b">
        <f>TRUE()</f>
        <v>1</v>
      </c>
      <c r="I41" s="27" t="s">
        <v>1125</v>
      </c>
      <c r="J41" s="7">
        <v>46542</v>
      </c>
      <c r="K41" s="6" t="s">
        <v>1248</v>
      </c>
      <c r="L41" s="6" t="s">
        <v>1037</v>
      </c>
      <c r="M41" s="6" t="s">
        <v>1333</v>
      </c>
      <c r="N41" s="10" t="b">
        <f>TRUE()</f>
        <v>1</v>
      </c>
      <c r="O41" s="7">
        <v>46177</v>
      </c>
      <c r="P41" s="34"/>
    </row>
    <row r="42" spans="1:16" x14ac:dyDescent="0.35">
      <c r="A42" s="5" t="s">
        <v>1328</v>
      </c>
      <c r="B42" s="6" t="s">
        <v>113</v>
      </c>
      <c r="C42" s="6" t="s">
        <v>826</v>
      </c>
      <c r="D42" s="6" t="str">
        <f>VLOOKUP(B:B,'[2]Hakata Island Team'!$E:$G,3,)</f>
        <v>Rupak Chundayil Kalam</v>
      </c>
      <c r="E42" s="6" t="str">
        <f>VLOOKUP(B:B,'[2]Hakata Island Team'!$E:$H,4,)</f>
        <v>SPPL Fleet - B</v>
      </c>
      <c r="F42" s="6" t="s">
        <v>1329</v>
      </c>
      <c r="G42" s="6" t="s">
        <v>1045</v>
      </c>
      <c r="H42" s="10" t="b">
        <f>TRUE()</f>
        <v>1</v>
      </c>
      <c r="I42" s="27" t="s">
        <v>1125</v>
      </c>
      <c r="J42" s="7">
        <v>46903</v>
      </c>
      <c r="K42" s="6" t="s">
        <v>1248</v>
      </c>
      <c r="L42" s="6" t="s">
        <v>1037</v>
      </c>
      <c r="M42" s="6" t="s">
        <v>1334</v>
      </c>
      <c r="N42" s="10" t="b">
        <f>TRUE()</f>
        <v>1</v>
      </c>
      <c r="O42" s="7">
        <v>45077</v>
      </c>
      <c r="P42" s="34"/>
    </row>
    <row r="43" spans="1:16" x14ac:dyDescent="0.35">
      <c r="A43" s="5" t="s">
        <v>1335</v>
      </c>
      <c r="B43" s="6" t="s">
        <v>750</v>
      </c>
      <c r="C43" s="6" t="s">
        <v>751</v>
      </c>
      <c r="D43" s="6" t="e">
        <f>VLOOKUP(B:B,'[2]Hakata Island Team'!$E:$G,3,)</f>
        <v>#N/A</v>
      </c>
      <c r="E43" s="6" t="e">
        <f>VLOOKUP(B:B,'[2]Hakata Island Team'!$E:$H,4,)</f>
        <v>#N/A</v>
      </c>
      <c r="F43" s="6" t="s">
        <v>1336</v>
      </c>
      <c r="G43" s="6" t="s">
        <v>1045</v>
      </c>
      <c r="H43" s="10" t="b">
        <f>TRUE()</f>
        <v>1</v>
      </c>
      <c r="I43" s="27" t="s">
        <v>1125</v>
      </c>
      <c r="J43" s="7">
        <v>47982</v>
      </c>
      <c r="K43" s="6" t="s">
        <v>1248</v>
      </c>
      <c r="L43" s="6" t="s">
        <v>1037</v>
      </c>
      <c r="M43" s="6" t="s">
        <v>1337</v>
      </c>
      <c r="N43" s="10" t="b">
        <f>TRUE()</f>
        <v>1</v>
      </c>
      <c r="O43" s="7">
        <v>46157</v>
      </c>
      <c r="P43" s="34"/>
    </row>
    <row r="44" spans="1:16" x14ac:dyDescent="0.35">
      <c r="A44" s="5" t="s">
        <v>1335</v>
      </c>
      <c r="B44" s="6" t="s">
        <v>113</v>
      </c>
      <c r="C44" s="6" t="s">
        <v>826</v>
      </c>
      <c r="D44" s="6" t="str">
        <f>VLOOKUP(B:B,'[2]Hakata Island Team'!$E:$G,3,)</f>
        <v>Rupak Chundayil Kalam</v>
      </c>
      <c r="E44" s="6" t="str">
        <f>VLOOKUP(B:B,'[2]Hakata Island Team'!$E:$H,4,)</f>
        <v>SPPL Fleet - B</v>
      </c>
      <c r="F44" s="6" t="s">
        <v>1336</v>
      </c>
      <c r="G44" s="6" t="s">
        <v>1045</v>
      </c>
      <c r="H44" s="10" t="b">
        <f>TRUE()</f>
        <v>1</v>
      </c>
      <c r="I44" s="27" t="s">
        <v>1125</v>
      </c>
      <c r="J44" s="7">
        <v>46903</v>
      </c>
      <c r="K44" s="6" t="s">
        <v>1248</v>
      </c>
      <c r="L44" s="6" t="s">
        <v>1037</v>
      </c>
      <c r="M44" s="6" t="s">
        <v>1338</v>
      </c>
      <c r="N44" s="10" t="b">
        <f>TRUE()</f>
        <v>1</v>
      </c>
      <c r="O44" s="7">
        <v>45077</v>
      </c>
      <c r="P44" s="34"/>
    </row>
    <row r="45" spans="1:16" x14ac:dyDescent="0.35">
      <c r="A45" s="5" t="s">
        <v>1339</v>
      </c>
      <c r="B45" s="6" t="s">
        <v>750</v>
      </c>
      <c r="C45" s="6" t="s">
        <v>751</v>
      </c>
      <c r="D45" s="6" t="e">
        <f>VLOOKUP(B:B,'[2]Hakata Island Team'!$E:$G,3,)</f>
        <v>#N/A</v>
      </c>
      <c r="E45" s="6" t="e">
        <f>VLOOKUP(B:B,'[2]Hakata Island Team'!$E:$H,4,)</f>
        <v>#N/A</v>
      </c>
      <c r="F45" s="6" t="s">
        <v>1340</v>
      </c>
      <c r="G45" s="6" t="s">
        <v>1136</v>
      </c>
      <c r="H45" s="10" t="b">
        <f>TRUE()</f>
        <v>1</v>
      </c>
      <c r="I45" s="27" t="s">
        <v>1125</v>
      </c>
      <c r="J45" s="7"/>
      <c r="K45" s="6" t="s">
        <v>1284</v>
      </c>
      <c r="L45" s="6" t="s">
        <v>1037</v>
      </c>
      <c r="M45" s="6" t="s">
        <v>1341</v>
      </c>
      <c r="N45" s="10" t="b">
        <f>FALSE()</f>
        <v>0</v>
      </c>
      <c r="O45" s="7">
        <v>46157</v>
      </c>
      <c r="P45" s="34"/>
    </row>
    <row r="46" spans="1:16" x14ac:dyDescent="0.35">
      <c r="A46" s="5" t="s">
        <v>1342</v>
      </c>
      <c r="B46" s="6" t="s">
        <v>750</v>
      </c>
      <c r="C46" s="6" t="s">
        <v>751</v>
      </c>
      <c r="D46" s="6" t="e">
        <f>VLOOKUP(B:B,'[2]Hakata Island Team'!$E:$G,3,)</f>
        <v>#N/A</v>
      </c>
      <c r="E46" s="6" t="e">
        <f>VLOOKUP(B:B,'[2]Hakata Island Team'!$E:$H,4,)</f>
        <v>#N/A</v>
      </c>
      <c r="F46" s="6" t="s">
        <v>1343</v>
      </c>
      <c r="G46" s="6" t="s">
        <v>1136</v>
      </c>
      <c r="H46" s="10" t="b">
        <f>TRUE()</f>
        <v>1</v>
      </c>
      <c r="I46" s="27" t="s">
        <v>1125</v>
      </c>
      <c r="J46" s="7"/>
      <c r="K46" s="6" t="s">
        <v>1284</v>
      </c>
      <c r="L46" s="6" t="s">
        <v>1037</v>
      </c>
      <c r="M46" s="6" t="s">
        <v>1344</v>
      </c>
      <c r="N46" s="10" t="b">
        <f>FALSE()</f>
        <v>0</v>
      </c>
      <c r="O46" s="7">
        <v>46157</v>
      </c>
      <c r="P46" s="34"/>
    </row>
    <row r="47" spans="1:16" x14ac:dyDescent="0.35">
      <c r="A47" s="5" t="s">
        <v>1345</v>
      </c>
      <c r="B47" s="6" t="s">
        <v>750</v>
      </c>
      <c r="C47" s="6" t="s">
        <v>751</v>
      </c>
      <c r="D47" s="6" t="e">
        <f>VLOOKUP(B:B,'[2]Hakata Island Team'!$E:$G,3,)</f>
        <v>#N/A</v>
      </c>
      <c r="E47" s="6" t="e">
        <f>VLOOKUP(B:B,'[2]Hakata Island Team'!$E:$H,4,)</f>
        <v>#N/A</v>
      </c>
      <c r="F47" s="6" t="s">
        <v>1346</v>
      </c>
      <c r="G47" s="6" t="s">
        <v>1136</v>
      </c>
      <c r="H47" s="10" t="b">
        <f>TRUE()</f>
        <v>1</v>
      </c>
      <c r="I47" s="27" t="s">
        <v>1125</v>
      </c>
      <c r="J47" s="7"/>
      <c r="K47" s="6" t="s">
        <v>1284</v>
      </c>
      <c r="L47" s="6" t="s">
        <v>1037</v>
      </c>
      <c r="M47" s="6" t="s">
        <v>1347</v>
      </c>
      <c r="N47" s="10" t="b">
        <f>FALSE()</f>
        <v>0</v>
      </c>
      <c r="O47" s="7">
        <v>46157</v>
      </c>
      <c r="P47" s="34"/>
    </row>
    <row r="48" spans="1:16" x14ac:dyDescent="0.35">
      <c r="A48" s="5" t="s">
        <v>1064</v>
      </c>
      <c r="B48" s="6" t="s">
        <v>544</v>
      </c>
      <c r="C48" s="6" t="s">
        <v>1059</v>
      </c>
      <c r="D48" s="6" t="str">
        <f>VLOOKUP(B:B,'[2]Hakata Island Team'!$E:$G,3,)</f>
        <v xml:space="preserve">Sujith Sundaran </v>
      </c>
      <c r="E48" s="6" t="str">
        <f>VLOOKUP(B:B,'[2]Hakata Island Team'!$E:$H,4,)</f>
        <v>SPPL Fleet - B</v>
      </c>
      <c r="F48" s="6" t="s">
        <v>1067</v>
      </c>
      <c r="G48" s="6" t="s">
        <v>1091</v>
      </c>
      <c r="H48" s="10" t="b">
        <f>TRUE()</f>
        <v>1</v>
      </c>
      <c r="I48" s="27" t="s">
        <v>1125</v>
      </c>
      <c r="J48" s="7">
        <v>46521</v>
      </c>
      <c r="K48" s="6" t="s">
        <v>1248</v>
      </c>
      <c r="L48" s="6" t="s">
        <v>1037</v>
      </c>
      <c r="M48" s="6" t="s">
        <v>1348</v>
      </c>
      <c r="N48" s="10" t="b">
        <f>FALSE()</f>
        <v>0</v>
      </c>
      <c r="O48" s="7">
        <v>46157</v>
      </c>
      <c r="P48" s="34"/>
    </row>
    <row r="49" spans="1:16" x14ac:dyDescent="0.35">
      <c r="A49" s="5" t="s">
        <v>1071</v>
      </c>
      <c r="B49" s="6" t="s">
        <v>718</v>
      </c>
      <c r="C49" s="6" t="s">
        <v>719</v>
      </c>
      <c r="D49" s="6" t="str">
        <f>VLOOKUP(B:B,'[2]Hakata Island Team'!$E:$G,3,)</f>
        <v xml:space="preserve">Sujith Sundaran </v>
      </c>
      <c r="E49" s="6" t="str">
        <f>VLOOKUP(B:B,'[2]Hakata Island Team'!$E:$H,4,)</f>
        <v>SPPL Fleet - B</v>
      </c>
      <c r="F49" s="6" t="s">
        <v>1072</v>
      </c>
      <c r="G49" s="6" t="s">
        <v>1035</v>
      </c>
      <c r="H49" s="10" t="b">
        <f>TRUE()</f>
        <v>1</v>
      </c>
      <c r="I49" s="27" t="s">
        <v>1125</v>
      </c>
      <c r="J49" s="7">
        <v>46453</v>
      </c>
      <c r="K49" s="6" t="s">
        <v>1248</v>
      </c>
      <c r="L49" s="6" t="s">
        <v>1037</v>
      </c>
      <c r="M49" s="6" t="s">
        <v>1141</v>
      </c>
      <c r="N49" s="10" t="b">
        <f>FALSE()</f>
        <v>0</v>
      </c>
      <c r="O49" s="7">
        <v>46088</v>
      </c>
      <c r="P49" s="34"/>
    </row>
    <row r="50" spans="1:16" x14ac:dyDescent="0.35">
      <c r="A50" s="5" t="s">
        <v>1074</v>
      </c>
      <c r="B50" s="6" t="s">
        <v>544</v>
      </c>
      <c r="C50" s="6" t="s">
        <v>1059</v>
      </c>
      <c r="D50" s="6" t="str">
        <f>VLOOKUP(B:B,'[2]Hakata Island Team'!$E:$G,3,)</f>
        <v xml:space="preserve">Sujith Sundaran </v>
      </c>
      <c r="E50" s="6" t="str">
        <f>VLOOKUP(B:B,'[2]Hakata Island Team'!$E:$H,4,)</f>
        <v>SPPL Fleet - B</v>
      </c>
      <c r="F50" s="6" t="s">
        <v>1075</v>
      </c>
      <c r="G50" s="6" t="s">
        <v>1035</v>
      </c>
      <c r="H50" s="10" t="b">
        <f>TRUE()</f>
        <v>1</v>
      </c>
      <c r="I50" s="27" t="s">
        <v>1125</v>
      </c>
      <c r="J50" s="7">
        <v>46521</v>
      </c>
      <c r="K50" s="6" t="s">
        <v>1248</v>
      </c>
      <c r="L50" s="6" t="s">
        <v>1037</v>
      </c>
      <c r="M50" s="6" t="s">
        <v>1348</v>
      </c>
      <c r="N50" s="10" t="b">
        <f>FALSE()</f>
        <v>0</v>
      </c>
      <c r="O50" s="7">
        <v>46157</v>
      </c>
      <c r="P50" s="34"/>
    </row>
    <row r="51" spans="1:16" x14ac:dyDescent="0.35">
      <c r="A51" s="5" t="s">
        <v>1074</v>
      </c>
      <c r="B51" s="6" t="s">
        <v>718</v>
      </c>
      <c r="C51" s="6" t="s">
        <v>719</v>
      </c>
      <c r="D51" s="6" t="str">
        <f>VLOOKUP(B:B,'[2]Hakata Island Team'!$E:$G,3,)</f>
        <v xml:space="preserve">Sujith Sundaran </v>
      </c>
      <c r="E51" s="6" t="str">
        <f>VLOOKUP(B:B,'[2]Hakata Island Team'!$E:$H,4,)</f>
        <v>SPPL Fleet - B</v>
      </c>
      <c r="F51" s="6" t="s">
        <v>1075</v>
      </c>
      <c r="G51" s="6" t="s">
        <v>1035</v>
      </c>
      <c r="H51" s="10" t="b">
        <f>TRUE()</f>
        <v>1</v>
      </c>
      <c r="I51" s="27" t="s">
        <v>1125</v>
      </c>
      <c r="J51" s="7">
        <v>46472</v>
      </c>
      <c r="K51" s="6" t="s">
        <v>1248</v>
      </c>
      <c r="L51" s="6" t="s">
        <v>1037</v>
      </c>
      <c r="M51" s="6" t="s">
        <v>1031</v>
      </c>
      <c r="N51" s="10" t="b">
        <f>FALSE()</f>
        <v>0</v>
      </c>
      <c r="O51" s="7">
        <v>46107</v>
      </c>
      <c r="P51" s="34"/>
    </row>
    <row r="52" spans="1:16" x14ac:dyDescent="0.35">
      <c r="A52" s="5" t="s">
        <v>1078</v>
      </c>
      <c r="B52" s="6" t="s">
        <v>544</v>
      </c>
      <c r="C52" s="6" t="s">
        <v>1059</v>
      </c>
      <c r="D52" s="6" t="str">
        <f>VLOOKUP(B:B,'[2]Hakata Island Team'!$E:$G,3,)</f>
        <v xml:space="preserve">Sujith Sundaran </v>
      </c>
      <c r="E52" s="6" t="str">
        <f>VLOOKUP(B:B,'[2]Hakata Island Team'!$E:$H,4,)</f>
        <v>SPPL Fleet - B</v>
      </c>
      <c r="F52" s="6" t="s">
        <v>1079</v>
      </c>
      <c r="G52" s="6" t="s">
        <v>1027</v>
      </c>
      <c r="H52" s="10" t="b">
        <f>TRUE()</f>
        <v>1</v>
      </c>
      <c r="I52" s="27" t="s">
        <v>1125</v>
      </c>
      <c r="J52" s="7">
        <v>46521</v>
      </c>
      <c r="K52" s="6" t="s">
        <v>1248</v>
      </c>
      <c r="L52" s="6" t="s">
        <v>1037</v>
      </c>
      <c r="M52" s="6" t="s">
        <v>1349</v>
      </c>
      <c r="N52" s="10" t="b">
        <f>FALSE()</f>
        <v>0</v>
      </c>
      <c r="O52" s="7">
        <v>43970</v>
      </c>
      <c r="P52" s="34"/>
    </row>
    <row r="53" spans="1:16" x14ac:dyDescent="0.35">
      <c r="A53" s="5" t="s">
        <v>1078</v>
      </c>
      <c r="B53" s="6" t="s">
        <v>718</v>
      </c>
      <c r="C53" s="6" t="s">
        <v>719</v>
      </c>
      <c r="D53" s="6" t="str">
        <f>VLOOKUP(B:B,'[2]Hakata Island Team'!$E:$G,3,)</f>
        <v xml:space="preserve">Sujith Sundaran </v>
      </c>
      <c r="E53" s="6" t="str">
        <f>VLOOKUP(B:B,'[2]Hakata Island Team'!$E:$H,4,)</f>
        <v>SPPL Fleet - B</v>
      </c>
      <c r="F53" s="6" t="s">
        <v>1079</v>
      </c>
      <c r="G53" s="6" t="s">
        <v>1035</v>
      </c>
      <c r="H53" s="10" t="b">
        <f>TRUE()</f>
        <v>1</v>
      </c>
      <c r="I53" s="27" t="s">
        <v>1125</v>
      </c>
      <c r="J53" s="7">
        <v>46472</v>
      </c>
      <c r="K53" s="6" t="s">
        <v>1248</v>
      </c>
      <c r="L53" s="6" t="s">
        <v>1037</v>
      </c>
      <c r="M53" s="6" t="s">
        <v>1141</v>
      </c>
      <c r="N53" s="10" t="b">
        <f>FALSE()</f>
        <v>0</v>
      </c>
      <c r="O53" s="7">
        <v>46107</v>
      </c>
      <c r="P53" s="34"/>
    </row>
    <row r="54" spans="1:16" x14ac:dyDescent="0.35">
      <c r="A54" s="5" t="s">
        <v>1350</v>
      </c>
      <c r="B54" s="6" t="s">
        <v>750</v>
      </c>
      <c r="C54" s="6" t="s">
        <v>751</v>
      </c>
      <c r="D54" s="6" t="e">
        <f>VLOOKUP(B:B,'[2]Hakata Island Team'!$E:$G,3,)</f>
        <v>#N/A</v>
      </c>
      <c r="E54" s="6" t="e">
        <f>VLOOKUP(B:B,'[2]Hakata Island Team'!$E:$H,4,)</f>
        <v>#N/A</v>
      </c>
      <c r="F54" s="6" t="s">
        <v>1351</v>
      </c>
      <c r="G54" s="6" t="s">
        <v>1352</v>
      </c>
      <c r="H54" s="10" t="b">
        <f>TRUE()</f>
        <v>1</v>
      </c>
      <c r="I54" s="27" t="s">
        <v>1125</v>
      </c>
      <c r="J54" s="7">
        <v>47818</v>
      </c>
      <c r="K54" s="6" t="s">
        <v>1248</v>
      </c>
      <c r="L54" s="6" t="s">
        <v>1037</v>
      </c>
      <c r="M54" s="6" t="s">
        <v>1353</v>
      </c>
      <c r="N54" s="10" t="b">
        <f>TRUE()</f>
        <v>1</v>
      </c>
      <c r="O54" s="7">
        <v>45854</v>
      </c>
      <c r="P54" s="34"/>
    </row>
    <row r="55" spans="1:16" x14ac:dyDescent="0.35">
      <c r="A55" s="5" t="s">
        <v>1354</v>
      </c>
      <c r="B55" s="6" t="s">
        <v>750</v>
      </c>
      <c r="C55" s="6" t="s">
        <v>751</v>
      </c>
      <c r="D55" s="6" t="e">
        <f>VLOOKUP(B:B,'[2]Hakata Island Team'!$E:$G,3,)</f>
        <v>#N/A</v>
      </c>
      <c r="E55" s="6" t="e">
        <f>VLOOKUP(B:B,'[2]Hakata Island Team'!$E:$H,4,)</f>
        <v>#N/A</v>
      </c>
      <c r="F55" s="6" t="s">
        <v>1355</v>
      </c>
      <c r="G55" s="6" t="s">
        <v>1136</v>
      </c>
      <c r="H55" s="10" t="b">
        <f>TRUE()</f>
        <v>1</v>
      </c>
      <c r="I55" s="27" t="s">
        <v>1125</v>
      </c>
      <c r="J55" s="7"/>
      <c r="K55" s="6" t="s">
        <v>1284</v>
      </c>
      <c r="L55" s="6" t="s">
        <v>1037</v>
      </c>
      <c r="M55" s="6" t="s">
        <v>1356</v>
      </c>
      <c r="N55" s="10" t="b">
        <f>FALSE()</f>
        <v>0</v>
      </c>
      <c r="O55" s="7">
        <v>46160</v>
      </c>
      <c r="P55" s="34"/>
    </row>
    <row r="56" spans="1:16" x14ac:dyDescent="0.35">
      <c r="A56" s="5" t="s">
        <v>1357</v>
      </c>
      <c r="B56" s="6" t="s">
        <v>1259</v>
      </c>
      <c r="C56" s="6" t="s">
        <v>1260</v>
      </c>
      <c r="D56" s="6" t="str">
        <f>VLOOKUP(B:B,'[2]Hakata Island Team'!$E:$G,3,)</f>
        <v>Rupak Chundayil Kalam</v>
      </c>
      <c r="E56" s="6" t="str">
        <f>VLOOKUP(B:B,'[2]Hakata Island Team'!$E:$H,4,)</f>
        <v>SPPL Fleet - B</v>
      </c>
      <c r="F56" s="6" t="s">
        <v>1358</v>
      </c>
      <c r="G56" s="6" t="s">
        <v>1027</v>
      </c>
      <c r="H56" s="10" t="b">
        <f>TRUE()</f>
        <v>1</v>
      </c>
      <c r="I56" s="27" t="s">
        <v>1125</v>
      </c>
      <c r="J56" s="7">
        <v>46770</v>
      </c>
      <c r="K56" s="6" t="s">
        <v>1248</v>
      </c>
      <c r="L56" s="6" t="s">
        <v>1037</v>
      </c>
      <c r="M56" s="6" t="s">
        <v>1359</v>
      </c>
      <c r="N56" s="10" t="b">
        <f>FALSE()</f>
        <v>0</v>
      </c>
      <c r="O56" s="7">
        <v>45802</v>
      </c>
      <c r="P56" s="34"/>
    </row>
    <row r="57" spans="1:16" x14ac:dyDescent="0.35">
      <c r="A57" s="5" t="s">
        <v>1360</v>
      </c>
      <c r="B57" s="6" t="s">
        <v>273</v>
      </c>
      <c r="C57" s="6" t="s">
        <v>1287</v>
      </c>
      <c r="D57" s="6" t="str">
        <f>VLOOKUP(B:B,'[2]Hakata Island Team'!$E:$G,3,)</f>
        <v>Umesh Sasle</v>
      </c>
      <c r="E57" s="6" t="str">
        <f>VLOOKUP(B:B,'[2]Hakata Island Team'!$E:$H,4,)</f>
        <v>SPPL Fleet - F</v>
      </c>
      <c r="F57" s="6" t="s">
        <v>1361</v>
      </c>
      <c r="G57" s="6" t="s">
        <v>1045</v>
      </c>
      <c r="H57" s="10" t="b">
        <f>TRUE()</f>
        <v>1</v>
      </c>
      <c r="I57" s="27" t="s">
        <v>1125</v>
      </c>
      <c r="J57" s="7">
        <v>46919</v>
      </c>
      <c r="K57" s="6" t="s">
        <v>1248</v>
      </c>
      <c r="L57" s="6" t="s">
        <v>1037</v>
      </c>
      <c r="M57" s="6" t="s">
        <v>1362</v>
      </c>
      <c r="N57" s="10" t="b">
        <f>FALSE()</f>
        <v>0</v>
      </c>
      <c r="O57" s="7">
        <v>46178</v>
      </c>
      <c r="P57" s="34"/>
    </row>
    <row r="58" spans="1:16" x14ac:dyDescent="0.35">
      <c r="A58" s="5" t="s">
        <v>1360</v>
      </c>
      <c r="B58" s="6" t="s">
        <v>750</v>
      </c>
      <c r="C58" s="6" t="s">
        <v>751</v>
      </c>
      <c r="D58" s="6" t="e">
        <f>VLOOKUP(B:B,'[2]Hakata Island Team'!$E:$G,3,)</f>
        <v>#N/A</v>
      </c>
      <c r="E58" s="6" t="e">
        <f>VLOOKUP(B:B,'[2]Hakata Island Team'!$E:$H,4,)</f>
        <v>#N/A</v>
      </c>
      <c r="F58" s="6" t="s">
        <v>1361</v>
      </c>
      <c r="G58" s="6" t="s">
        <v>1045</v>
      </c>
      <c r="H58" s="10" t="b">
        <f>TRUE()</f>
        <v>1</v>
      </c>
      <c r="I58" s="27" t="s">
        <v>1125</v>
      </c>
      <c r="J58" s="7">
        <v>47982</v>
      </c>
      <c r="K58" s="6" t="s">
        <v>1248</v>
      </c>
      <c r="L58" s="6" t="s">
        <v>1037</v>
      </c>
      <c r="M58" s="6" t="s">
        <v>1363</v>
      </c>
      <c r="N58" s="10" t="b">
        <f>TRUE()</f>
        <v>1</v>
      </c>
      <c r="O58" s="7">
        <v>46157</v>
      </c>
      <c r="P58" s="34"/>
    </row>
    <row r="59" spans="1:16" x14ac:dyDescent="0.35">
      <c r="A59" s="5" t="s">
        <v>1360</v>
      </c>
      <c r="B59" s="6" t="s">
        <v>113</v>
      </c>
      <c r="C59" s="6" t="s">
        <v>826</v>
      </c>
      <c r="D59" s="6" t="str">
        <f>VLOOKUP(B:B,'[2]Hakata Island Team'!$E:$G,3,)</f>
        <v>Rupak Chundayil Kalam</v>
      </c>
      <c r="E59" s="6" t="str">
        <f>VLOOKUP(B:B,'[2]Hakata Island Team'!$E:$H,4,)</f>
        <v>SPPL Fleet - B</v>
      </c>
      <c r="F59" s="6" t="s">
        <v>1361</v>
      </c>
      <c r="G59" s="6" t="s">
        <v>1045</v>
      </c>
      <c r="H59" s="10" t="b">
        <f>TRUE()</f>
        <v>1</v>
      </c>
      <c r="I59" s="27" t="s">
        <v>1125</v>
      </c>
      <c r="J59" s="7">
        <v>46903</v>
      </c>
      <c r="K59" s="6" t="s">
        <v>1248</v>
      </c>
      <c r="L59" s="6" t="s">
        <v>1037</v>
      </c>
      <c r="M59" s="6" t="s">
        <v>1364</v>
      </c>
      <c r="N59" s="10" t="b">
        <f>TRUE()</f>
        <v>1</v>
      </c>
      <c r="O59" s="7">
        <v>45077</v>
      </c>
      <c r="P59" s="34"/>
    </row>
    <row r="60" spans="1:16" x14ac:dyDescent="0.35">
      <c r="A60" s="5" t="s">
        <v>1365</v>
      </c>
      <c r="B60" s="6" t="s">
        <v>1233</v>
      </c>
      <c r="C60" s="6" t="s">
        <v>1234</v>
      </c>
      <c r="D60" s="6" t="str">
        <f>VLOOKUP(B:B,'[2]Hakata Island Team'!$E:$G,3,)</f>
        <v>Manikandan Ayyappan</v>
      </c>
      <c r="E60" s="6" t="str">
        <f>VLOOKUP(B:B,'[2]Hakata Island Team'!$E:$H,4,)</f>
        <v>SPPL Fleet - G</v>
      </c>
      <c r="F60" s="6" t="s">
        <v>1366</v>
      </c>
      <c r="G60" s="6" t="s">
        <v>1352</v>
      </c>
      <c r="H60" s="10" t="b">
        <f>TRUE()</f>
        <v>1</v>
      </c>
      <c r="I60" s="27" t="s">
        <v>1125</v>
      </c>
      <c r="J60" s="7">
        <v>47828</v>
      </c>
      <c r="K60" s="6" t="s">
        <v>1248</v>
      </c>
      <c r="L60" s="6" t="s">
        <v>1037</v>
      </c>
      <c r="M60" s="6" t="s">
        <v>1367</v>
      </c>
      <c r="N60" s="10" t="b">
        <f>FALSE()</f>
        <v>0</v>
      </c>
      <c r="O60" s="7">
        <v>46003</v>
      </c>
      <c r="P60" s="34"/>
    </row>
    <row r="61" spans="1:16" x14ac:dyDescent="0.35">
      <c r="A61" s="5" t="s">
        <v>1092</v>
      </c>
      <c r="B61" s="6" t="s">
        <v>408</v>
      </c>
      <c r="C61" s="6" t="s">
        <v>1368</v>
      </c>
      <c r="D61" s="6" t="str">
        <f>VLOOKUP(B:B,'[2]Hakata Island Team'!$E:$G,3,)</f>
        <v>Manoj Padmanabhan</v>
      </c>
      <c r="E61" s="6" t="str">
        <f>VLOOKUP(B:B,'[2]Hakata Island Team'!$E:$H,4,)</f>
        <v xml:space="preserve">SPPL Fleet - A </v>
      </c>
      <c r="F61" s="6" t="s">
        <v>1093</v>
      </c>
      <c r="G61" s="6" t="s">
        <v>1091</v>
      </c>
      <c r="H61" s="10" t="b">
        <f>TRUE()</f>
        <v>1</v>
      </c>
      <c r="I61" s="27" t="s">
        <v>1125</v>
      </c>
      <c r="J61" s="7">
        <v>46539</v>
      </c>
      <c r="K61" s="6" t="s">
        <v>1248</v>
      </c>
      <c r="L61" s="6" t="s">
        <v>1037</v>
      </c>
      <c r="M61" s="6" t="s">
        <v>1369</v>
      </c>
      <c r="N61" s="10" t="b">
        <f>FALSE()</f>
        <v>0</v>
      </c>
      <c r="O61" s="7">
        <v>46175</v>
      </c>
      <c r="P61" s="34"/>
    </row>
    <row r="62" spans="1:16" x14ac:dyDescent="0.35">
      <c r="A62" s="5" t="s">
        <v>1370</v>
      </c>
      <c r="B62" s="6" t="s">
        <v>750</v>
      </c>
      <c r="C62" s="6" t="s">
        <v>751</v>
      </c>
      <c r="D62" s="6" t="e">
        <f>VLOOKUP(B:B,'[2]Hakata Island Team'!$E:$G,3,)</f>
        <v>#N/A</v>
      </c>
      <c r="E62" s="6" t="e">
        <f>VLOOKUP(B:B,'[2]Hakata Island Team'!$E:$H,4,)</f>
        <v>#N/A</v>
      </c>
      <c r="F62" s="6" t="s">
        <v>1371</v>
      </c>
      <c r="G62" s="6" t="s">
        <v>1136</v>
      </c>
      <c r="H62" s="10" t="b">
        <f>TRUE()</f>
        <v>1</v>
      </c>
      <c r="I62" s="27" t="s">
        <v>1125</v>
      </c>
      <c r="J62" s="7"/>
      <c r="K62" s="6" t="s">
        <v>1284</v>
      </c>
      <c r="L62" s="6" t="s">
        <v>1037</v>
      </c>
      <c r="M62" s="6" t="s">
        <v>1372</v>
      </c>
      <c r="N62" s="10" t="b">
        <f>FALSE()</f>
        <v>0</v>
      </c>
      <c r="O62" s="7">
        <v>46157</v>
      </c>
      <c r="P62" s="34"/>
    </row>
    <row r="63" spans="1:16" x14ac:dyDescent="0.35">
      <c r="A63" s="5" t="s">
        <v>1373</v>
      </c>
      <c r="B63" s="6" t="s">
        <v>1233</v>
      </c>
      <c r="C63" s="6" t="s">
        <v>1234</v>
      </c>
      <c r="D63" s="6" t="str">
        <f>VLOOKUP(B:B,'[2]Hakata Island Team'!$E:$G,3,)</f>
        <v>Manikandan Ayyappan</v>
      </c>
      <c r="E63" s="6" t="str">
        <f>VLOOKUP(B:B,'[2]Hakata Island Team'!$E:$H,4,)</f>
        <v>SPPL Fleet - G</v>
      </c>
      <c r="F63" s="6" t="s">
        <v>1374</v>
      </c>
      <c r="G63" s="6" t="s">
        <v>1035</v>
      </c>
      <c r="H63" s="10" t="b">
        <f>TRUE()</f>
        <v>1</v>
      </c>
      <c r="I63" s="27" t="s">
        <v>1125</v>
      </c>
      <c r="J63" s="7">
        <v>46492</v>
      </c>
      <c r="K63" s="6" t="s">
        <v>1248</v>
      </c>
      <c r="L63" s="6" t="s">
        <v>1037</v>
      </c>
      <c r="M63" s="6" t="s">
        <v>1031</v>
      </c>
      <c r="N63" s="10" t="b">
        <f>FALSE()</f>
        <v>0</v>
      </c>
      <c r="O63" s="7">
        <v>46127</v>
      </c>
      <c r="P63" s="34"/>
    </row>
    <row r="64" spans="1:16" x14ac:dyDescent="0.35">
      <c r="A64" s="5" t="s">
        <v>1373</v>
      </c>
      <c r="B64" s="6" t="s">
        <v>544</v>
      </c>
      <c r="C64" s="6" t="s">
        <v>1059</v>
      </c>
      <c r="D64" s="6" t="str">
        <f>VLOOKUP(B:B,'[2]Hakata Island Team'!$E:$G,3,)</f>
        <v xml:space="preserve">Sujith Sundaran </v>
      </c>
      <c r="E64" s="6" t="str">
        <f>VLOOKUP(B:B,'[2]Hakata Island Team'!$E:$H,4,)</f>
        <v>SPPL Fleet - B</v>
      </c>
      <c r="F64" s="6" t="s">
        <v>1374</v>
      </c>
      <c r="G64" s="6" t="s">
        <v>1035</v>
      </c>
      <c r="H64" s="10" t="b">
        <f>TRUE()</f>
        <v>1</v>
      </c>
      <c r="I64" s="27" t="s">
        <v>1125</v>
      </c>
      <c r="J64" s="7">
        <v>46521</v>
      </c>
      <c r="K64" s="6" t="s">
        <v>1248</v>
      </c>
      <c r="L64" s="6" t="s">
        <v>1037</v>
      </c>
      <c r="M64" s="6" t="s">
        <v>1375</v>
      </c>
      <c r="N64" s="10" t="b">
        <f>FALSE()</f>
        <v>0</v>
      </c>
      <c r="O64" s="7">
        <v>46157</v>
      </c>
      <c r="P64" s="34"/>
    </row>
    <row r="65" spans="1:16" x14ac:dyDescent="0.35">
      <c r="A65" s="5" t="s">
        <v>1373</v>
      </c>
      <c r="B65" s="6" t="s">
        <v>718</v>
      </c>
      <c r="C65" s="6" t="s">
        <v>719</v>
      </c>
      <c r="D65" s="6" t="str">
        <f>VLOOKUP(B:B,'[2]Hakata Island Team'!$E:$G,3,)</f>
        <v xml:space="preserve">Sujith Sundaran </v>
      </c>
      <c r="E65" s="6" t="str">
        <f>VLOOKUP(B:B,'[2]Hakata Island Team'!$E:$H,4,)</f>
        <v>SPPL Fleet - B</v>
      </c>
      <c r="F65" s="6" t="s">
        <v>1374</v>
      </c>
      <c r="G65" s="6" t="s">
        <v>1035</v>
      </c>
      <c r="H65" s="10" t="b">
        <f>TRUE()</f>
        <v>1</v>
      </c>
      <c r="I65" s="27" t="s">
        <v>1125</v>
      </c>
      <c r="J65" s="7">
        <v>46453</v>
      </c>
      <c r="K65" s="6" t="s">
        <v>1248</v>
      </c>
      <c r="L65" s="6" t="s">
        <v>1037</v>
      </c>
      <c r="M65" s="6" t="s">
        <v>1376</v>
      </c>
      <c r="N65" s="10" t="b">
        <f>FALSE()</f>
        <v>0</v>
      </c>
      <c r="O65" s="7">
        <v>46088</v>
      </c>
      <c r="P65" s="34"/>
    </row>
    <row r="66" spans="1:16" x14ac:dyDescent="0.35">
      <c r="A66" s="5" t="s">
        <v>1377</v>
      </c>
      <c r="B66" s="6" t="s">
        <v>1378</v>
      </c>
      <c r="C66" s="6" t="s">
        <v>1379</v>
      </c>
      <c r="D66" s="6" t="str">
        <f>VLOOKUP(B:B,'[2]Hakata Island Team'!$E:$G,3,)</f>
        <v>Santosh Kulkarni/Ponnappa</v>
      </c>
      <c r="E66" s="6" t="str">
        <f>VLOOKUP(B:B,'[2]Hakata Island Team'!$E:$H,4,)</f>
        <v>SPPL Fleet - F</v>
      </c>
      <c r="F66" s="6" t="s">
        <v>1380</v>
      </c>
      <c r="G66" s="6" t="s">
        <v>1091</v>
      </c>
      <c r="H66" s="10" t="b">
        <f>TRUE()</f>
        <v>1</v>
      </c>
      <c r="I66" s="27" t="s">
        <v>1125</v>
      </c>
      <c r="J66" s="7">
        <v>46543</v>
      </c>
      <c r="K66" s="6" t="s">
        <v>1248</v>
      </c>
      <c r="L66" s="6" t="s">
        <v>1037</v>
      </c>
      <c r="M66" s="6" t="s">
        <v>1381</v>
      </c>
      <c r="N66" s="10" t="b">
        <f>FALSE()</f>
        <v>0</v>
      </c>
      <c r="O66" s="7">
        <v>46178</v>
      </c>
      <c r="P66" s="34"/>
    </row>
    <row r="67" spans="1:16" x14ac:dyDescent="0.35">
      <c r="A67" s="5" t="s">
        <v>1098</v>
      </c>
      <c r="B67" s="6" t="s">
        <v>718</v>
      </c>
      <c r="C67" s="6" t="s">
        <v>719</v>
      </c>
      <c r="D67" s="6" t="str">
        <f>VLOOKUP(B:B,'[2]Hakata Island Team'!$E:$G,3,)</f>
        <v xml:space="preserve">Sujith Sundaran </v>
      </c>
      <c r="E67" s="6" t="str">
        <f>VLOOKUP(B:B,'[2]Hakata Island Team'!$E:$H,4,)</f>
        <v>SPPL Fleet - B</v>
      </c>
      <c r="F67" s="6" t="s">
        <v>1100</v>
      </c>
      <c r="G67" s="6" t="s">
        <v>1088</v>
      </c>
      <c r="H67" s="10" t="b">
        <f>TRUE()</f>
        <v>1</v>
      </c>
      <c r="I67" s="27" t="s">
        <v>1125</v>
      </c>
      <c r="J67" s="7">
        <v>46789</v>
      </c>
      <c r="K67" s="6" t="s">
        <v>1248</v>
      </c>
      <c r="L67" s="6" t="s">
        <v>1037</v>
      </c>
      <c r="M67" s="6" t="s">
        <v>1141</v>
      </c>
      <c r="N67" s="10" t="b">
        <f>FALSE()</f>
        <v>0</v>
      </c>
      <c r="O67" s="7">
        <v>46060</v>
      </c>
      <c r="P67" s="34"/>
    </row>
    <row r="68" spans="1:16" x14ac:dyDescent="0.35">
      <c r="A68" s="5" t="s">
        <v>1382</v>
      </c>
      <c r="B68" s="6" t="s">
        <v>544</v>
      </c>
      <c r="C68" s="6" t="s">
        <v>1059</v>
      </c>
      <c r="D68" s="6" t="str">
        <f>VLOOKUP(B:B,'[2]Hakata Island Team'!$E:$G,3,)</f>
        <v xml:space="preserve">Sujith Sundaran </v>
      </c>
      <c r="E68" s="6" t="str">
        <f>VLOOKUP(B:B,'[2]Hakata Island Team'!$E:$H,4,)</f>
        <v>SPPL Fleet - B</v>
      </c>
      <c r="F68" s="6" t="s">
        <v>1383</v>
      </c>
      <c r="G68" s="6" t="s">
        <v>1088</v>
      </c>
      <c r="H68" s="10" t="b">
        <f>TRUE()</f>
        <v>1</v>
      </c>
      <c r="I68" s="27" t="s">
        <v>1125</v>
      </c>
      <c r="J68" s="7">
        <v>46460</v>
      </c>
      <c r="K68" s="6" t="s">
        <v>1248</v>
      </c>
      <c r="L68" s="6" t="s">
        <v>1037</v>
      </c>
      <c r="M68" s="6" t="s">
        <v>1384</v>
      </c>
      <c r="N68" s="10" t="b">
        <f>FALSE()</f>
        <v>0</v>
      </c>
      <c r="O68" s="7">
        <v>45419</v>
      </c>
      <c r="P68" s="34"/>
    </row>
    <row r="69" spans="1:16" x14ac:dyDescent="0.35">
      <c r="A69" s="5" t="s">
        <v>1382</v>
      </c>
      <c r="B69" s="6" t="s">
        <v>718</v>
      </c>
      <c r="C69" s="6" t="s">
        <v>719</v>
      </c>
      <c r="D69" s="6" t="str">
        <f>VLOOKUP(B:B,'[2]Hakata Island Team'!$E:$G,3,)</f>
        <v xml:space="preserve">Sujith Sundaran </v>
      </c>
      <c r="E69" s="6" t="str">
        <f>VLOOKUP(B:B,'[2]Hakata Island Team'!$E:$H,4,)</f>
        <v>SPPL Fleet - B</v>
      </c>
      <c r="F69" s="6" t="s">
        <v>1383</v>
      </c>
      <c r="G69" s="6" t="s">
        <v>1088</v>
      </c>
      <c r="H69" s="10" t="b">
        <f>TRUE()</f>
        <v>1</v>
      </c>
      <c r="I69" s="27" t="s">
        <v>1125</v>
      </c>
      <c r="J69" s="7">
        <v>46403</v>
      </c>
      <c r="K69" s="6" t="s">
        <v>1248</v>
      </c>
      <c r="L69" s="6" t="s">
        <v>1037</v>
      </c>
      <c r="M69" s="6" t="s">
        <v>1141</v>
      </c>
      <c r="N69" s="10" t="b">
        <f>FALSE()</f>
        <v>0</v>
      </c>
      <c r="O69" s="7">
        <v>46038</v>
      </c>
      <c r="P69" s="34"/>
    </row>
    <row r="70" spans="1:16" x14ac:dyDescent="0.35">
      <c r="A70" s="5" t="s">
        <v>1385</v>
      </c>
      <c r="B70" s="6" t="s">
        <v>575</v>
      </c>
      <c r="C70" s="6" t="s">
        <v>1256</v>
      </c>
      <c r="D70" s="6" t="str">
        <f>VLOOKUP(B:B,'[2]Hakata Island Team'!$E:$G,3,)</f>
        <v>Santosh Kulkarni/Ponnappa</v>
      </c>
      <c r="E70" s="6" t="str">
        <f>VLOOKUP(B:B,'[2]Hakata Island Team'!$E:$H,4,)</f>
        <v>SPPL Fleet - F</v>
      </c>
      <c r="F70" s="6" t="s">
        <v>1386</v>
      </c>
      <c r="G70" s="6" t="s">
        <v>1027</v>
      </c>
      <c r="H70" s="10" t="b">
        <f>TRUE()</f>
        <v>1</v>
      </c>
      <c r="I70" s="27" t="s">
        <v>1125</v>
      </c>
      <c r="J70" s="7">
        <v>47834</v>
      </c>
      <c r="K70" s="6" t="s">
        <v>1248</v>
      </c>
      <c r="L70" s="6" t="s">
        <v>1104</v>
      </c>
      <c r="M70" s="6" t="s">
        <v>1387</v>
      </c>
      <c r="N70" s="10" t="b">
        <f>FALSE()</f>
        <v>0</v>
      </c>
      <c r="O70" s="7">
        <v>45965</v>
      </c>
      <c r="P70" s="34"/>
    </row>
    <row r="71" spans="1:16" x14ac:dyDescent="0.35">
      <c r="A71" s="5" t="s">
        <v>1112</v>
      </c>
      <c r="B71" s="6" t="s">
        <v>544</v>
      </c>
      <c r="C71" s="6" t="s">
        <v>1059</v>
      </c>
      <c r="D71" s="6" t="str">
        <f>VLOOKUP(B:B,'[2]Hakata Island Team'!$E:$G,3,)</f>
        <v xml:space="preserve">Sujith Sundaran </v>
      </c>
      <c r="E71" s="6" t="str">
        <f>VLOOKUP(B:B,'[2]Hakata Island Team'!$E:$H,4,)</f>
        <v>SPPL Fleet - B</v>
      </c>
      <c r="F71" s="6" t="s">
        <v>1113</v>
      </c>
      <c r="G71" s="6" t="s">
        <v>1045</v>
      </c>
      <c r="H71" s="10" t="b">
        <f>TRUE()</f>
        <v>1</v>
      </c>
      <c r="I71" s="27" t="s">
        <v>1125</v>
      </c>
      <c r="J71" s="7">
        <v>46538</v>
      </c>
      <c r="K71" s="6" t="s">
        <v>1248</v>
      </c>
      <c r="L71" s="6" t="s">
        <v>1104</v>
      </c>
      <c r="M71" s="6" t="s">
        <v>1388</v>
      </c>
      <c r="N71" s="10" t="b">
        <f>FALSE()</f>
        <v>0</v>
      </c>
      <c r="O71" s="7">
        <v>45799</v>
      </c>
      <c r="P71" s="34"/>
    </row>
    <row r="72" spans="1:16" x14ac:dyDescent="0.35">
      <c r="A72" s="5" t="s">
        <v>1389</v>
      </c>
      <c r="B72" s="6" t="s">
        <v>1390</v>
      </c>
      <c r="C72" s="6" t="s">
        <v>1391</v>
      </c>
      <c r="D72" s="6" t="str">
        <f>VLOOKUP(B:B,'[2]Hakata Island Team'!$E:$G,3,)</f>
        <v>Santosh Kulkarni</v>
      </c>
      <c r="E72" s="6" t="str">
        <f>VLOOKUP(B:B,'[2]Hakata Island Team'!$E:$H,4,)</f>
        <v>SPPL Fleet - F</v>
      </c>
      <c r="F72" s="6" t="s">
        <v>1392</v>
      </c>
      <c r="G72" s="6" t="s">
        <v>1091</v>
      </c>
      <c r="H72" s="10" t="b">
        <f>TRUE()</f>
        <v>1</v>
      </c>
      <c r="I72" s="27" t="s">
        <v>1125</v>
      </c>
      <c r="J72" s="7">
        <v>46477</v>
      </c>
      <c r="K72" s="6" t="s">
        <v>1248</v>
      </c>
      <c r="L72" s="6" t="s">
        <v>1118</v>
      </c>
      <c r="M72" s="6" t="s">
        <v>1031</v>
      </c>
      <c r="N72" s="10" t="b">
        <f>FALSE()</f>
        <v>0</v>
      </c>
      <c r="O72" s="7">
        <v>46100</v>
      </c>
      <c r="P72" s="34"/>
    </row>
    <row r="73" spans="1:16" x14ac:dyDescent="0.35">
      <c r="A73" s="5" t="s">
        <v>1389</v>
      </c>
      <c r="B73" s="6" t="s">
        <v>750</v>
      </c>
      <c r="C73" s="6" t="s">
        <v>751</v>
      </c>
      <c r="D73" s="6" t="e">
        <f>VLOOKUP(B:B,'[2]Hakata Island Team'!$E:$G,3,)</f>
        <v>#N/A</v>
      </c>
      <c r="E73" s="6" t="e">
        <f>VLOOKUP(B:B,'[2]Hakata Island Team'!$E:$H,4,)</f>
        <v>#N/A</v>
      </c>
      <c r="F73" s="6" t="s">
        <v>1392</v>
      </c>
      <c r="G73" s="6" t="s">
        <v>1045</v>
      </c>
      <c r="H73" s="10" t="b">
        <f>TRUE()</f>
        <v>1</v>
      </c>
      <c r="I73" s="27" t="s">
        <v>1125</v>
      </c>
      <c r="J73" s="7">
        <v>46520</v>
      </c>
      <c r="K73" s="6" t="s">
        <v>1248</v>
      </c>
      <c r="L73" s="6" t="s">
        <v>1118</v>
      </c>
      <c r="M73" s="6" t="s">
        <v>1356</v>
      </c>
      <c r="N73" s="10" t="b">
        <f>FALSE()</f>
        <v>0</v>
      </c>
      <c r="O73" s="7">
        <v>46157</v>
      </c>
      <c r="P73" s="34"/>
    </row>
    <row r="74" spans="1:16" x14ac:dyDescent="0.35">
      <c r="A74" s="5" t="s">
        <v>1393</v>
      </c>
      <c r="B74" s="6" t="s">
        <v>750</v>
      </c>
      <c r="C74" s="6" t="s">
        <v>751</v>
      </c>
      <c r="D74" s="6" t="e">
        <f>VLOOKUP(B:B,'[2]Hakata Island Team'!$E:$G,3,)</f>
        <v>#N/A</v>
      </c>
      <c r="E74" s="6" t="e">
        <f>VLOOKUP(B:B,'[2]Hakata Island Team'!$E:$H,4,)</f>
        <v>#N/A</v>
      </c>
      <c r="F74" s="6" t="s">
        <v>1394</v>
      </c>
      <c r="G74" s="6" t="s">
        <v>1136</v>
      </c>
      <c r="H74" s="10" t="b">
        <f>TRUE()</f>
        <v>1</v>
      </c>
      <c r="I74" s="27" t="s">
        <v>1125</v>
      </c>
      <c r="J74" s="7">
        <v>46872</v>
      </c>
      <c r="K74" s="6" t="s">
        <v>1248</v>
      </c>
      <c r="L74" s="6" t="s">
        <v>1118</v>
      </c>
      <c r="M74" s="6" t="s">
        <v>1395</v>
      </c>
      <c r="N74" s="10" t="b">
        <f>FALSE()</f>
        <v>0</v>
      </c>
      <c r="O74" s="7">
        <v>45044</v>
      </c>
      <c r="P74" s="34"/>
    </row>
    <row r="75" spans="1:16" x14ac:dyDescent="0.35">
      <c r="A75" s="5" t="s">
        <v>1396</v>
      </c>
      <c r="B75" s="6" t="s">
        <v>750</v>
      </c>
      <c r="C75" s="6" t="s">
        <v>751</v>
      </c>
      <c r="D75" s="6" t="e">
        <f>VLOOKUP(B:B,'[2]Hakata Island Team'!$E:$G,3,)</f>
        <v>#N/A</v>
      </c>
      <c r="E75" s="6" t="e">
        <f>VLOOKUP(B:B,'[2]Hakata Island Team'!$E:$H,4,)</f>
        <v>#N/A</v>
      </c>
      <c r="F75" s="6" t="s">
        <v>1397</v>
      </c>
      <c r="G75" s="6" t="s">
        <v>1136</v>
      </c>
      <c r="H75" s="10" t="b">
        <f>TRUE()</f>
        <v>1</v>
      </c>
      <c r="I75" s="27" t="s">
        <v>1125</v>
      </c>
      <c r="J75" s="7">
        <v>47495</v>
      </c>
      <c r="K75" s="6" t="s">
        <v>1248</v>
      </c>
      <c r="L75" s="6" t="s">
        <v>1118</v>
      </c>
      <c r="M75" s="6" t="s">
        <v>1353</v>
      </c>
      <c r="N75" s="10" t="b">
        <f>FALSE()</f>
        <v>0</v>
      </c>
      <c r="O75" s="7">
        <v>45670</v>
      </c>
      <c r="P75" s="34"/>
    </row>
    <row r="76" spans="1:16" x14ac:dyDescent="0.35">
      <c r="A76" s="5" t="s">
        <v>1120</v>
      </c>
      <c r="B76" s="6" t="s">
        <v>750</v>
      </c>
      <c r="C76" s="6" t="s">
        <v>751</v>
      </c>
      <c r="D76" s="6" t="e">
        <f>VLOOKUP(B:B,'[2]Hakata Island Team'!$E:$G,3,)</f>
        <v>#N/A</v>
      </c>
      <c r="E76" s="6" t="e">
        <f>VLOOKUP(B:B,'[2]Hakata Island Team'!$E:$H,4,)</f>
        <v>#N/A</v>
      </c>
      <c r="F76" s="6" t="s">
        <v>1121</v>
      </c>
      <c r="G76" s="6" t="s">
        <v>1027</v>
      </c>
      <c r="H76" s="10" t="b">
        <f>TRUE()</f>
        <v>1</v>
      </c>
      <c r="I76" s="27" t="s">
        <v>1125</v>
      </c>
      <c r="J76" s="7">
        <v>47867</v>
      </c>
      <c r="K76" s="6" t="s">
        <v>1248</v>
      </c>
      <c r="L76" s="6" t="s">
        <v>1118</v>
      </c>
      <c r="M76" s="6" t="s">
        <v>1122</v>
      </c>
      <c r="N76" s="10" t="b">
        <f>FALSE()</f>
        <v>0</v>
      </c>
      <c r="O76" s="7">
        <v>46041</v>
      </c>
      <c r="P76" s="34"/>
    </row>
    <row r="77" spans="1:16" x14ac:dyDescent="0.35">
      <c r="A77" s="5" t="s">
        <v>1398</v>
      </c>
      <c r="B77" s="6" t="s">
        <v>210</v>
      </c>
      <c r="C77" s="6" t="s">
        <v>1044</v>
      </c>
      <c r="D77" s="6" t="str">
        <f>VLOOKUP(B:B,'[2]Hakata Island Team'!$E:$G,3,)</f>
        <v>Umesh Sasle</v>
      </c>
      <c r="E77" s="6" t="str">
        <f>VLOOKUP(B:B,'[2]Hakata Island Team'!$E:$H,4,)</f>
        <v>SPPL Fleet - F</v>
      </c>
      <c r="F77" s="6" t="s">
        <v>1399</v>
      </c>
      <c r="G77" s="6" t="s">
        <v>1045</v>
      </c>
      <c r="H77" s="10" t="b">
        <f>TRUE()</f>
        <v>1</v>
      </c>
      <c r="I77" s="27" t="s">
        <v>1125</v>
      </c>
      <c r="J77" s="7">
        <v>46259</v>
      </c>
      <c r="K77" s="6" t="s">
        <v>1248</v>
      </c>
      <c r="L77" s="6" t="s">
        <v>1118</v>
      </c>
      <c r="M77" s="6" t="s">
        <v>1400</v>
      </c>
      <c r="N77" s="10" t="b">
        <f>FALSE()</f>
        <v>0</v>
      </c>
      <c r="O77" s="7">
        <v>46079</v>
      </c>
      <c r="P77" s="34"/>
    </row>
    <row r="78" spans="1:16" x14ac:dyDescent="0.35">
      <c r="A78" s="5" t="s">
        <v>1398</v>
      </c>
      <c r="B78" s="6" t="s">
        <v>1401</v>
      </c>
      <c r="C78" s="6" t="s">
        <v>1402</v>
      </c>
      <c r="D78" s="6" t="str">
        <f>VLOOKUP(B:B,'[2]Hakata Island Team'!$E:$G,3,)</f>
        <v>Neelakandan Sethupathy</v>
      </c>
      <c r="E78" s="6" t="str">
        <f>VLOOKUP(B:B,'[2]Hakata Island Team'!$E:$H,4,)</f>
        <v>SPPL Fleet - D</v>
      </c>
      <c r="F78" s="6" t="s">
        <v>1399</v>
      </c>
      <c r="G78" s="6" t="s">
        <v>1045</v>
      </c>
      <c r="H78" s="10" t="b">
        <f>TRUE()</f>
        <v>1</v>
      </c>
      <c r="I78" s="27" t="s">
        <v>1125</v>
      </c>
      <c r="J78" s="7">
        <v>46337</v>
      </c>
      <c r="K78" s="6" t="s">
        <v>1248</v>
      </c>
      <c r="L78" s="6" t="s">
        <v>1118</v>
      </c>
      <c r="M78" s="6" t="s">
        <v>1403</v>
      </c>
      <c r="N78" s="10" t="b">
        <f>FALSE()</f>
        <v>0</v>
      </c>
      <c r="O78" s="7">
        <v>46184</v>
      </c>
      <c r="P78" s="34"/>
    </row>
    <row r="79" spans="1:16" x14ac:dyDescent="0.35">
      <c r="A79" s="5" t="s">
        <v>1123</v>
      </c>
      <c r="B79" s="6" t="s">
        <v>210</v>
      </c>
      <c r="C79" s="6" t="s">
        <v>1044</v>
      </c>
      <c r="D79" s="6" t="str">
        <f>VLOOKUP(B:B,'[2]Hakata Island Team'!$E:$G,3,)</f>
        <v>Umesh Sasle</v>
      </c>
      <c r="E79" s="6" t="str">
        <f>VLOOKUP(B:B,'[2]Hakata Island Team'!$E:$H,4,)</f>
        <v>SPPL Fleet - F</v>
      </c>
      <c r="F79" s="6" t="s">
        <v>1124</v>
      </c>
      <c r="G79" s="6" t="s">
        <v>1045</v>
      </c>
      <c r="H79" s="10" t="b">
        <f>TRUE()</f>
        <v>1</v>
      </c>
      <c r="I79" s="27" t="s">
        <v>1125</v>
      </c>
      <c r="J79" s="7">
        <v>46176</v>
      </c>
      <c r="K79" s="6" t="s">
        <v>1029</v>
      </c>
      <c r="L79" s="6" t="s">
        <v>1118</v>
      </c>
      <c r="M79" s="6" t="s">
        <v>1126</v>
      </c>
      <c r="N79" s="10" t="b">
        <f>FALSE()</f>
        <v>0</v>
      </c>
      <c r="O79" s="7">
        <v>45994</v>
      </c>
      <c r="P79" s="34"/>
    </row>
    <row r="80" spans="1:16" x14ac:dyDescent="0.35">
      <c r="A80" s="5" t="s">
        <v>1123</v>
      </c>
      <c r="B80" s="6" t="s">
        <v>750</v>
      </c>
      <c r="C80" s="6" t="s">
        <v>751</v>
      </c>
      <c r="D80" s="6" t="e">
        <f>VLOOKUP(B:B,'[2]Hakata Island Team'!$E:$G,3,)</f>
        <v>#N/A</v>
      </c>
      <c r="E80" s="6" t="e">
        <f>VLOOKUP(B:B,'[2]Hakata Island Team'!$E:$H,4,)</f>
        <v>#N/A</v>
      </c>
      <c r="F80" s="6" t="s">
        <v>1124</v>
      </c>
      <c r="G80" s="6" t="s">
        <v>1056</v>
      </c>
      <c r="H80" s="10" t="b">
        <f>TRUE()</f>
        <v>1</v>
      </c>
      <c r="I80" s="27" t="s">
        <v>1125</v>
      </c>
      <c r="J80" s="7">
        <v>46336</v>
      </c>
      <c r="K80" s="6" t="s">
        <v>1248</v>
      </c>
      <c r="L80" s="6" t="s">
        <v>1118</v>
      </c>
      <c r="M80" s="6" t="s">
        <v>1404</v>
      </c>
      <c r="N80" s="10" t="b">
        <f>FALSE()</f>
        <v>0</v>
      </c>
      <c r="O80" s="7">
        <v>46153</v>
      </c>
      <c r="P80" s="34"/>
    </row>
    <row r="81" spans="1:16" x14ac:dyDescent="0.35">
      <c r="A81" s="5" t="s">
        <v>1123</v>
      </c>
      <c r="B81" s="6" t="s">
        <v>1291</v>
      </c>
      <c r="C81" s="6" t="s">
        <v>1292</v>
      </c>
      <c r="D81" s="6" t="str">
        <f>VLOOKUP(B:B,'[2]Hakata Island Team'!$E:$G,3,)</f>
        <v>Vinoth Kumar R</v>
      </c>
      <c r="E81" s="6" t="str">
        <f>VLOOKUP(B:B,'[2]Hakata Island Team'!$E:$H,4,)</f>
        <v xml:space="preserve">SPPL Fleet - A </v>
      </c>
      <c r="F81" s="6" t="s">
        <v>1124</v>
      </c>
      <c r="G81" s="6" t="s">
        <v>1127</v>
      </c>
      <c r="H81" s="10" t="b">
        <f>TRUE()</f>
        <v>1</v>
      </c>
      <c r="I81" s="27" t="s">
        <v>1125</v>
      </c>
      <c r="J81" s="7">
        <v>46358</v>
      </c>
      <c r="K81" s="6" t="s">
        <v>1248</v>
      </c>
      <c r="L81" s="6" t="s">
        <v>1118</v>
      </c>
      <c r="M81" s="6" t="s">
        <v>1405</v>
      </c>
      <c r="N81" s="10" t="b">
        <f>FALSE()</f>
        <v>0</v>
      </c>
      <c r="O81" s="7">
        <v>46176</v>
      </c>
      <c r="P81" s="34"/>
    </row>
    <row r="82" spans="1:16" x14ac:dyDescent="0.35">
      <c r="A82" s="5" t="s">
        <v>1123</v>
      </c>
      <c r="B82" s="6" t="s">
        <v>98</v>
      </c>
      <c r="C82" s="6" t="s">
        <v>861</v>
      </c>
      <c r="D82" s="6" t="str">
        <f>VLOOKUP(B:B,'[2]Hakata Island Team'!$E:$G,3,)</f>
        <v xml:space="preserve">Sujith Sundaran </v>
      </c>
      <c r="E82" s="6" t="str">
        <f>VLOOKUP(B:B,'[2]Hakata Island Team'!$E:$H,4,)</f>
        <v>SPPL Fleet - B</v>
      </c>
      <c r="F82" s="6" t="s">
        <v>1124</v>
      </c>
      <c r="G82" s="6" t="s">
        <v>1127</v>
      </c>
      <c r="H82" s="10" t="b">
        <f>TRUE()</f>
        <v>1</v>
      </c>
      <c r="I82" s="27" t="s">
        <v>1125</v>
      </c>
      <c r="J82" s="7">
        <v>46336</v>
      </c>
      <c r="K82" s="6" t="s">
        <v>1248</v>
      </c>
      <c r="L82" s="6" t="s">
        <v>1118</v>
      </c>
      <c r="M82" s="6" t="s">
        <v>1406</v>
      </c>
      <c r="N82" s="10" t="b">
        <f>FALSE()</f>
        <v>0</v>
      </c>
      <c r="O82" s="7">
        <v>46152</v>
      </c>
      <c r="P82" s="34"/>
    </row>
    <row r="83" spans="1:16" x14ac:dyDescent="0.35">
      <c r="A83" s="5" t="s">
        <v>1407</v>
      </c>
      <c r="B83" s="6" t="s">
        <v>51</v>
      </c>
      <c r="C83" s="6" t="s">
        <v>1277</v>
      </c>
      <c r="D83" s="6" t="str">
        <f>VLOOKUP(B:B,'[2]Hakata Island Team'!$E:$G,3,)</f>
        <v>Rupak Chundayil Kalam</v>
      </c>
      <c r="E83" s="6" t="str">
        <f>VLOOKUP(B:B,'[2]Hakata Island Team'!$E:$H,4,)</f>
        <v>SPPL Fleet - B</v>
      </c>
      <c r="F83" s="6" t="s">
        <v>1408</v>
      </c>
      <c r="G83" s="6" t="s">
        <v>1035</v>
      </c>
      <c r="H83" s="10" t="b">
        <f>TRUE()</f>
        <v>1</v>
      </c>
      <c r="I83" s="27" t="s">
        <v>1125</v>
      </c>
      <c r="J83" s="7">
        <v>46538</v>
      </c>
      <c r="K83" s="6" t="s">
        <v>1248</v>
      </c>
      <c r="L83" s="6" t="s">
        <v>1118</v>
      </c>
      <c r="M83" s="6" t="s">
        <v>1409</v>
      </c>
      <c r="N83" s="10" t="b">
        <f>FALSE()</f>
        <v>0</v>
      </c>
      <c r="O83" s="7">
        <v>46146</v>
      </c>
      <c r="P83" s="34"/>
    </row>
    <row r="84" spans="1:16" x14ac:dyDescent="0.35">
      <c r="A84" s="5" t="s">
        <v>1410</v>
      </c>
      <c r="B84" s="6" t="s">
        <v>210</v>
      </c>
      <c r="C84" s="6" t="s">
        <v>1044</v>
      </c>
      <c r="D84" s="6" t="str">
        <f>VLOOKUP(B:B,'[2]Hakata Island Team'!$E:$G,3,)</f>
        <v>Umesh Sasle</v>
      </c>
      <c r="E84" s="6" t="str">
        <f>VLOOKUP(B:B,'[2]Hakata Island Team'!$E:$H,4,)</f>
        <v>SPPL Fleet - F</v>
      </c>
      <c r="F84" s="6" t="s">
        <v>1411</v>
      </c>
      <c r="G84" s="6" t="s">
        <v>1136</v>
      </c>
      <c r="H84" s="10" t="b">
        <f>TRUE()</f>
        <v>1</v>
      </c>
      <c r="I84" s="27" t="s">
        <v>1125</v>
      </c>
      <c r="J84" s="7"/>
      <c r="K84" s="6" t="s">
        <v>1284</v>
      </c>
      <c r="L84" s="6" t="s">
        <v>1118</v>
      </c>
      <c r="M84" s="6" t="s">
        <v>1031</v>
      </c>
      <c r="N84" s="10" t="b">
        <f>FALSE()</f>
        <v>0</v>
      </c>
      <c r="O84" s="7">
        <v>45867</v>
      </c>
      <c r="P84" s="34"/>
    </row>
    <row r="85" spans="1:16" x14ac:dyDescent="0.35">
      <c r="A85" s="5" t="s">
        <v>1410</v>
      </c>
      <c r="B85" s="6" t="s">
        <v>750</v>
      </c>
      <c r="C85" s="6" t="s">
        <v>751</v>
      </c>
      <c r="D85" s="6" t="e">
        <f>VLOOKUP(B:B,'[2]Hakata Island Team'!$E:$G,3,)</f>
        <v>#N/A</v>
      </c>
      <c r="E85" s="6" t="e">
        <f>VLOOKUP(B:B,'[2]Hakata Island Team'!$E:$H,4,)</f>
        <v>#N/A</v>
      </c>
      <c r="F85" s="6" t="s">
        <v>1411</v>
      </c>
      <c r="G85" s="6" t="s">
        <v>1136</v>
      </c>
      <c r="H85" s="10" t="b">
        <f>TRUE()</f>
        <v>1</v>
      </c>
      <c r="I85" s="27" t="s">
        <v>1125</v>
      </c>
      <c r="J85" s="7"/>
      <c r="K85" s="6" t="s">
        <v>1284</v>
      </c>
      <c r="L85" s="6" t="s">
        <v>1118</v>
      </c>
      <c r="M85" s="6" t="s">
        <v>1412</v>
      </c>
      <c r="N85" s="10" t="b">
        <f>FALSE()</f>
        <v>0</v>
      </c>
      <c r="O85" s="7">
        <v>46157</v>
      </c>
      <c r="P85" s="34"/>
    </row>
    <row r="86" spans="1:16" x14ac:dyDescent="0.35">
      <c r="A86" s="5" t="s">
        <v>1138</v>
      </c>
      <c r="B86" s="6" t="s">
        <v>718</v>
      </c>
      <c r="C86" s="6" t="s">
        <v>719</v>
      </c>
      <c r="D86" s="6" t="str">
        <f>VLOOKUP(B:B,'[2]Hakata Island Team'!$E:$G,3,)</f>
        <v xml:space="preserve">Sujith Sundaran </v>
      </c>
      <c r="E86" s="6" t="str">
        <f>VLOOKUP(B:B,'[2]Hakata Island Team'!$E:$H,4,)</f>
        <v>SPPL Fleet - B</v>
      </c>
      <c r="F86" s="6" t="s">
        <v>1139</v>
      </c>
      <c r="G86" s="6" t="s">
        <v>1127</v>
      </c>
      <c r="H86" s="10" t="b">
        <f>TRUE()</f>
        <v>1</v>
      </c>
      <c r="I86" s="27" t="s">
        <v>1125</v>
      </c>
      <c r="J86" s="7">
        <v>46154</v>
      </c>
      <c r="K86" s="6" t="s">
        <v>1029</v>
      </c>
      <c r="L86" s="6" t="s">
        <v>1140</v>
      </c>
      <c r="M86" s="6" t="s">
        <v>1141</v>
      </c>
      <c r="N86" s="10" t="b">
        <f>FALSE()</f>
        <v>0</v>
      </c>
      <c r="O86" s="7">
        <v>46065</v>
      </c>
      <c r="P86" s="34"/>
    </row>
    <row r="87" spans="1:16" x14ac:dyDescent="0.35">
      <c r="A87" s="5" t="s">
        <v>1142</v>
      </c>
      <c r="B87" s="6" t="s">
        <v>544</v>
      </c>
      <c r="C87" s="6" t="s">
        <v>1059</v>
      </c>
      <c r="D87" s="6" t="str">
        <f>VLOOKUP(B:B,'[2]Hakata Island Team'!$E:$G,3,)</f>
        <v xml:space="preserve">Sujith Sundaran </v>
      </c>
      <c r="E87" s="6" t="str">
        <f>VLOOKUP(B:B,'[2]Hakata Island Team'!$E:$H,4,)</f>
        <v>SPPL Fleet - B</v>
      </c>
      <c r="F87" s="6" t="s">
        <v>1143</v>
      </c>
      <c r="G87" s="6" t="s">
        <v>1127</v>
      </c>
      <c r="H87" s="10" t="b">
        <f>TRUE()</f>
        <v>1</v>
      </c>
      <c r="I87" s="27" t="s">
        <v>1125</v>
      </c>
      <c r="J87" s="7">
        <v>46522</v>
      </c>
      <c r="K87" s="6" t="s">
        <v>1248</v>
      </c>
      <c r="L87" s="6" t="s">
        <v>1140</v>
      </c>
      <c r="M87" s="6" t="s">
        <v>1144</v>
      </c>
      <c r="N87" s="10" t="b">
        <f>FALSE()</f>
        <v>0</v>
      </c>
      <c r="O87" s="7">
        <v>44315</v>
      </c>
      <c r="P87" s="34"/>
    </row>
    <row r="88" spans="1:16" x14ac:dyDescent="0.35">
      <c r="A88" s="5" t="s">
        <v>1413</v>
      </c>
      <c r="B88" s="6" t="s">
        <v>718</v>
      </c>
      <c r="C88" s="6" t="s">
        <v>719</v>
      </c>
      <c r="D88" s="6" t="str">
        <f>VLOOKUP(B:B,'[2]Hakata Island Team'!$E:$G,3,)</f>
        <v xml:space="preserve">Sujith Sundaran </v>
      </c>
      <c r="E88" s="6" t="str">
        <f>VLOOKUP(B:B,'[2]Hakata Island Team'!$E:$H,4,)</f>
        <v>SPPL Fleet - B</v>
      </c>
      <c r="F88" s="6" t="s">
        <v>1414</v>
      </c>
      <c r="G88" s="6" t="s">
        <v>1415</v>
      </c>
      <c r="H88" s="10" t="b">
        <f>TRUE()</f>
        <v>1</v>
      </c>
      <c r="I88" s="27" t="s">
        <v>1125</v>
      </c>
      <c r="J88" s="7">
        <v>46453</v>
      </c>
      <c r="K88" s="6" t="s">
        <v>1248</v>
      </c>
      <c r="L88" s="6" t="s">
        <v>1161</v>
      </c>
      <c r="M88" s="6" t="s">
        <v>1416</v>
      </c>
      <c r="N88" s="10" t="b">
        <f>FALSE()</f>
        <v>0</v>
      </c>
      <c r="O88" s="7">
        <v>46088</v>
      </c>
      <c r="P88" s="34"/>
    </row>
    <row r="89" spans="1:16" x14ac:dyDescent="0.35">
      <c r="A89" s="5" t="s">
        <v>1417</v>
      </c>
      <c r="B89" s="6" t="s">
        <v>750</v>
      </c>
      <c r="C89" s="6" t="s">
        <v>751</v>
      </c>
      <c r="D89" s="6" t="e">
        <f>VLOOKUP(B:B,'[2]Hakata Island Team'!$E:$G,3,)</f>
        <v>#N/A</v>
      </c>
      <c r="E89" s="6" t="e">
        <f>VLOOKUP(B:B,'[2]Hakata Island Team'!$E:$H,4,)</f>
        <v>#N/A</v>
      </c>
      <c r="F89" s="6" t="s">
        <v>1418</v>
      </c>
      <c r="G89" s="6" t="s">
        <v>1035</v>
      </c>
      <c r="H89" s="10" t="b">
        <f>TRUE()</f>
        <v>1</v>
      </c>
      <c r="I89" s="27" t="s">
        <v>1125</v>
      </c>
      <c r="J89" s="7">
        <v>47982</v>
      </c>
      <c r="K89" s="6" t="s">
        <v>1248</v>
      </c>
      <c r="L89" s="6" t="s">
        <v>1161</v>
      </c>
      <c r="M89" s="6" t="s">
        <v>1419</v>
      </c>
      <c r="N89" s="10" t="b">
        <f>FALSE()</f>
        <v>0</v>
      </c>
      <c r="O89" s="7">
        <v>46157</v>
      </c>
      <c r="P89" s="34"/>
    </row>
    <row r="90" spans="1:16" x14ac:dyDescent="0.35">
      <c r="A90" s="5" t="s">
        <v>1420</v>
      </c>
      <c r="B90" s="6" t="s">
        <v>750</v>
      </c>
      <c r="C90" s="6" t="s">
        <v>751</v>
      </c>
      <c r="D90" s="6" t="e">
        <f>VLOOKUP(B:B,'[2]Hakata Island Team'!$E:$G,3,)</f>
        <v>#N/A</v>
      </c>
      <c r="E90" s="6" t="e">
        <f>VLOOKUP(B:B,'[2]Hakata Island Team'!$E:$H,4,)</f>
        <v>#N/A</v>
      </c>
      <c r="F90" s="6" t="s">
        <v>1421</v>
      </c>
      <c r="G90" s="6" t="s">
        <v>1091</v>
      </c>
      <c r="H90" s="10" t="b">
        <f>TRUE()</f>
        <v>1</v>
      </c>
      <c r="I90" s="27" t="s">
        <v>1125</v>
      </c>
      <c r="J90" s="7">
        <v>46472</v>
      </c>
      <c r="K90" s="6" t="s">
        <v>1248</v>
      </c>
      <c r="L90" s="6" t="s">
        <v>1161</v>
      </c>
      <c r="M90" s="6" t="s">
        <v>1422</v>
      </c>
      <c r="N90" s="10" t="b">
        <f>TRUE()</f>
        <v>1</v>
      </c>
      <c r="O90" s="7">
        <v>46108</v>
      </c>
      <c r="P90" s="34"/>
    </row>
    <row r="91" spans="1:16" x14ac:dyDescent="0.35">
      <c r="A91" s="5" t="s">
        <v>1162</v>
      </c>
      <c r="B91" s="6" t="s">
        <v>51</v>
      </c>
      <c r="C91" s="6" t="s">
        <v>1277</v>
      </c>
      <c r="D91" s="6" t="str">
        <f>VLOOKUP(B:B,'[2]Hakata Island Team'!$E:$G,3,)</f>
        <v>Rupak Chundayil Kalam</v>
      </c>
      <c r="E91" s="6" t="str">
        <f>VLOOKUP(B:B,'[2]Hakata Island Team'!$E:$H,4,)</f>
        <v>SPPL Fleet - B</v>
      </c>
      <c r="F91" s="6" t="s">
        <v>1163</v>
      </c>
      <c r="G91" s="6" t="s">
        <v>1027</v>
      </c>
      <c r="H91" s="10" t="b">
        <f>TRUE()</f>
        <v>1</v>
      </c>
      <c r="I91" s="27" t="s">
        <v>1125</v>
      </c>
      <c r="J91" s="7">
        <v>46248</v>
      </c>
      <c r="K91" s="6" t="s">
        <v>1248</v>
      </c>
      <c r="L91" s="6" t="s">
        <v>1030</v>
      </c>
      <c r="M91" s="6" t="s">
        <v>1031</v>
      </c>
      <c r="N91" s="10" t="b">
        <f>FALSE()</f>
        <v>0</v>
      </c>
      <c r="O91" s="7">
        <v>46156</v>
      </c>
      <c r="P91" s="34"/>
    </row>
    <row r="92" spans="1:16" x14ac:dyDescent="0.35">
      <c r="A92" s="5" t="s">
        <v>1162</v>
      </c>
      <c r="B92" s="6" t="s">
        <v>544</v>
      </c>
      <c r="C92" s="6" t="s">
        <v>1059</v>
      </c>
      <c r="D92" s="6" t="str">
        <f>VLOOKUP(B:B,'[2]Hakata Island Team'!$E:$G,3,)</f>
        <v xml:space="preserve">Sujith Sundaran </v>
      </c>
      <c r="E92" s="6" t="str">
        <f>VLOOKUP(B:B,'[2]Hakata Island Team'!$E:$H,4,)</f>
        <v>SPPL Fleet - B</v>
      </c>
      <c r="F92" s="6" t="s">
        <v>1163</v>
      </c>
      <c r="G92" s="6" t="s">
        <v>1127</v>
      </c>
      <c r="H92" s="10" t="b">
        <f>TRUE()</f>
        <v>1</v>
      </c>
      <c r="I92" s="27" t="s">
        <v>1125</v>
      </c>
      <c r="J92" s="7">
        <v>46243</v>
      </c>
      <c r="K92" s="6" t="s">
        <v>1248</v>
      </c>
      <c r="L92" s="6" t="s">
        <v>1030</v>
      </c>
      <c r="M92" s="6" t="s">
        <v>1141</v>
      </c>
      <c r="N92" s="10" t="b">
        <f>FALSE()</f>
        <v>0</v>
      </c>
      <c r="O92" s="7">
        <v>45998</v>
      </c>
      <c r="P92" s="34"/>
    </row>
    <row r="93" spans="1:16" x14ac:dyDescent="0.35">
      <c r="A93" s="5" t="s">
        <v>1423</v>
      </c>
      <c r="B93" s="6" t="s">
        <v>750</v>
      </c>
      <c r="C93" s="6" t="s">
        <v>751</v>
      </c>
      <c r="D93" s="6" t="e">
        <f>VLOOKUP(B:B,'[2]Hakata Island Team'!$E:$G,3,)</f>
        <v>#N/A</v>
      </c>
      <c r="E93" s="6" t="e">
        <f>VLOOKUP(B:B,'[2]Hakata Island Team'!$E:$H,4,)</f>
        <v>#N/A</v>
      </c>
      <c r="F93" s="6" t="s">
        <v>1424</v>
      </c>
      <c r="G93" s="6" t="s">
        <v>1352</v>
      </c>
      <c r="H93" s="10" t="b">
        <f>TRUE()</f>
        <v>1</v>
      </c>
      <c r="I93" s="27" t="s">
        <v>1125</v>
      </c>
      <c r="J93" s="7">
        <v>47982</v>
      </c>
      <c r="K93" s="6" t="s">
        <v>1248</v>
      </c>
      <c r="L93" s="6" t="s">
        <v>1030</v>
      </c>
      <c r="M93" s="6" t="s">
        <v>1425</v>
      </c>
      <c r="N93" s="10" t="b">
        <f>FALSE()</f>
        <v>0</v>
      </c>
      <c r="O93" s="7">
        <v>46157</v>
      </c>
      <c r="P93" s="34"/>
    </row>
    <row r="94" spans="1:16" x14ac:dyDescent="0.35">
      <c r="A94" s="5" t="s">
        <v>1426</v>
      </c>
      <c r="B94" s="6" t="s">
        <v>750</v>
      </c>
      <c r="C94" s="6" t="s">
        <v>751</v>
      </c>
      <c r="D94" s="6" t="e">
        <f>VLOOKUP(B:B,'[2]Hakata Island Team'!$E:$G,3,)</f>
        <v>#N/A</v>
      </c>
      <c r="E94" s="6" t="e">
        <f>VLOOKUP(B:B,'[2]Hakata Island Team'!$E:$H,4,)</f>
        <v>#N/A</v>
      </c>
      <c r="F94" s="6" t="s">
        <v>1427</v>
      </c>
      <c r="G94" s="6" t="s">
        <v>1428</v>
      </c>
      <c r="H94" s="10" t="b">
        <f>TRUE()</f>
        <v>1</v>
      </c>
      <c r="I94" s="27" t="s">
        <v>1125</v>
      </c>
      <c r="J94" s="7">
        <v>47721</v>
      </c>
      <c r="K94" s="6" t="s">
        <v>1248</v>
      </c>
      <c r="L94" s="6" t="s">
        <v>1030</v>
      </c>
      <c r="M94" s="6" t="s">
        <v>1429</v>
      </c>
      <c r="N94" s="10" t="b">
        <f>FALSE()</f>
        <v>0</v>
      </c>
      <c r="O94" s="7">
        <v>45896</v>
      </c>
      <c r="P94" s="34"/>
    </row>
    <row r="95" spans="1:16" x14ac:dyDescent="0.35">
      <c r="A95" s="5" t="s">
        <v>1426</v>
      </c>
      <c r="B95" s="6" t="s">
        <v>575</v>
      </c>
      <c r="C95" s="6" t="s">
        <v>1256</v>
      </c>
      <c r="D95" s="6" t="str">
        <f>VLOOKUP(B:B,'[2]Hakata Island Team'!$E:$G,3,)</f>
        <v>Santosh Kulkarni/Ponnappa</v>
      </c>
      <c r="E95" s="6" t="str">
        <f>VLOOKUP(B:B,'[2]Hakata Island Team'!$E:$H,4,)</f>
        <v>SPPL Fleet - F</v>
      </c>
      <c r="F95" s="6" t="s">
        <v>1427</v>
      </c>
      <c r="G95" s="6" t="s">
        <v>1428</v>
      </c>
      <c r="H95" s="10" t="b">
        <f>TRUE()</f>
        <v>1</v>
      </c>
      <c r="I95" s="27" t="s">
        <v>1125</v>
      </c>
      <c r="J95" s="7">
        <v>47534</v>
      </c>
      <c r="K95" s="6" t="s">
        <v>1248</v>
      </c>
      <c r="L95" s="6" t="s">
        <v>1030</v>
      </c>
      <c r="M95" s="6" t="s">
        <v>1430</v>
      </c>
      <c r="N95" s="10" t="b">
        <f>FALSE()</f>
        <v>0</v>
      </c>
      <c r="O95" s="7">
        <v>45709</v>
      </c>
      <c r="P95" s="34"/>
    </row>
    <row r="96" spans="1:16" x14ac:dyDescent="0.35">
      <c r="A96" s="5" t="s">
        <v>1431</v>
      </c>
      <c r="B96" s="6" t="s">
        <v>750</v>
      </c>
      <c r="C96" s="6" t="s">
        <v>751</v>
      </c>
      <c r="D96" s="6" t="e">
        <f>VLOOKUP(B:B,'[2]Hakata Island Team'!$E:$G,3,)</f>
        <v>#N/A</v>
      </c>
      <c r="E96" s="6" t="e">
        <f>VLOOKUP(B:B,'[2]Hakata Island Team'!$E:$H,4,)</f>
        <v>#N/A</v>
      </c>
      <c r="F96" s="6" t="s">
        <v>1432</v>
      </c>
      <c r="G96" s="6" t="s">
        <v>1433</v>
      </c>
      <c r="H96" s="10" t="b">
        <f>TRUE()</f>
        <v>1</v>
      </c>
      <c r="I96" s="27" t="s">
        <v>1125</v>
      </c>
      <c r="J96" s="7">
        <v>46340</v>
      </c>
      <c r="K96" s="6" t="s">
        <v>1248</v>
      </c>
      <c r="L96" s="6" t="s">
        <v>1434</v>
      </c>
      <c r="M96" s="6" t="s">
        <v>1435</v>
      </c>
      <c r="N96" s="10" t="b">
        <f>TRUE()</f>
        <v>1</v>
      </c>
      <c r="O96" s="7">
        <v>46157</v>
      </c>
      <c r="P96" s="34"/>
    </row>
    <row r="97" spans="1:16" x14ac:dyDescent="0.35">
      <c r="A97" s="5" t="s">
        <v>1436</v>
      </c>
      <c r="B97" s="6" t="s">
        <v>750</v>
      </c>
      <c r="C97" s="6" t="s">
        <v>751</v>
      </c>
      <c r="D97" s="6" t="e">
        <f>VLOOKUP(B:B,'[2]Hakata Island Team'!$E:$G,3,)</f>
        <v>#N/A</v>
      </c>
      <c r="E97" s="6" t="e">
        <f>VLOOKUP(B:B,'[2]Hakata Island Team'!$E:$H,4,)</f>
        <v>#N/A</v>
      </c>
      <c r="F97" s="6" t="s">
        <v>1437</v>
      </c>
      <c r="G97" s="6" t="s">
        <v>1433</v>
      </c>
      <c r="H97" s="10" t="b">
        <f>TRUE()</f>
        <v>1</v>
      </c>
      <c r="I97" s="27" t="s">
        <v>1125</v>
      </c>
      <c r="J97" s="7">
        <v>46340</v>
      </c>
      <c r="K97" s="6" t="s">
        <v>1248</v>
      </c>
      <c r="L97" s="6" t="s">
        <v>1438</v>
      </c>
      <c r="M97" s="6" t="s">
        <v>1439</v>
      </c>
      <c r="N97" s="10" t="b">
        <f>TRUE()</f>
        <v>1</v>
      </c>
      <c r="O97" s="7">
        <v>46157</v>
      </c>
      <c r="P97" s="34"/>
    </row>
    <row r="98" spans="1:16" x14ac:dyDescent="0.35">
      <c r="A98" s="5" t="s">
        <v>1440</v>
      </c>
      <c r="B98" s="6" t="s">
        <v>718</v>
      </c>
      <c r="C98" s="6" t="s">
        <v>719</v>
      </c>
      <c r="D98" s="6" t="str">
        <f>VLOOKUP(B:B,'[2]Hakata Island Team'!$E:$G,3,)</f>
        <v xml:space="preserve">Sujith Sundaran </v>
      </c>
      <c r="E98" s="6" t="str">
        <f>VLOOKUP(B:B,'[2]Hakata Island Team'!$E:$H,4,)</f>
        <v>SPPL Fleet - B</v>
      </c>
      <c r="F98" s="6" t="s">
        <v>1441</v>
      </c>
      <c r="G98" s="6" t="s">
        <v>1045</v>
      </c>
      <c r="H98" s="10" t="b">
        <f>TRUE()</f>
        <v>1</v>
      </c>
      <c r="I98" s="27" t="s">
        <v>1125</v>
      </c>
      <c r="J98" s="7">
        <v>46457</v>
      </c>
      <c r="K98" s="6" t="s">
        <v>1248</v>
      </c>
      <c r="L98" s="6" t="s">
        <v>1167</v>
      </c>
      <c r="M98" s="6" t="s">
        <v>1442</v>
      </c>
      <c r="N98" s="10" t="b">
        <f>FALSE()</f>
        <v>0</v>
      </c>
      <c r="O98" s="7">
        <v>46092</v>
      </c>
      <c r="P98" s="34"/>
    </row>
    <row r="99" spans="1:16" x14ac:dyDescent="0.35">
      <c r="A99" s="5" t="s">
        <v>1443</v>
      </c>
      <c r="B99" s="6" t="s">
        <v>750</v>
      </c>
      <c r="C99" s="6" t="s">
        <v>751</v>
      </c>
      <c r="D99" s="6" t="e">
        <f>VLOOKUP(B:B,'[2]Hakata Island Team'!$E:$G,3,)</f>
        <v>#N/A</v>
      </c>
      <c r="E99" s="6" t="e">
        <f>VLOOKUP(B:B,'[2]Hakata Island Team'!$E:$H,4,)</f>
        <v>#N/A</v>
      </c>
      <c r="F99" s="6" t="s">
        <v>1444</v>
      </c>
      <c r="G99" s="6" t="s">
        <v>1045</v>
      </c>
      <c r="H99" s="10" t="b">
        <f>TRUE()</f>
        <v>1</v>
      </c>
      <c r="I99" s="27" t="s">
        <v>1125</v>
      </c>
      <c r="J99" s="7">
        <v>46445</v>
      </c>
      <c r="K99" s="6" t="s">
        <v>1248</v>
      </c>
      <c r="L99" s="6" t="s">
        <v>1167</v>
      </c>
      <c r="M99" s="6" t="s">
        <v>1445</v>
      </c>
      <c r="N99" s="10" t="b">
        <f>FALSE()</f>
        <v>0</v>
      </c>
      <c r="O99" s="7">
        <v>46101</v>
      </c>
      <c r="P99" s="34"/>
    </row>
    <row r="100" spans="1:16" x14ac:dyDescent="0.35">
      <c r="A100" s="5" t="s">
        <v>1446</v>
      </c>
      <c r="B100" s="6" t="s">
        <v>750</v>
      </c>
      <c r="C100" s="6" t="s">
        <v>751</v>
      </c>
      <c r="D100" s="6" t="e">
        <f>VLOOKUP(B:B,'[2]Hakata Island Team'!$E:$G,3,)</f>
        <v>#N/A</v>
      </c>
      <c r="E100" s="6" t="e">
        <f>VLOOKUP(B:B,'[2]Hakata Island Team'!$E:$H,4,)</f>
        <v>#N/A</v>
      </c>
      <c r="F100" s="6" t="s">
        <v>1447</v>
      </c>
      <c r="G100" s="6" t="s">
        <v>1045</v>
      </c>
      <c r="H100" s="10" t="b">
        <f>TRUE()</f>
        <v>1</v>
      </c>
      <c r="I100" s="27" t="s">
        <v>1125</v>
      </c>
      <c r="J100" s="7">
        <v>46438</v>
      </c>
      <c r="K100" s="6" t="s">
        <v>1248</v>
      </c>
      <c r="L100" s="6" t="s">
        <v>1167</v>
      </c>
      <c r="M100" s="6" t="s">
        <v>1356</v>
      </c>
      <c r="N100" s="10" t="b">
        <f>FALSE()</f>
        <v>0</v>
      </c>
      <c r="O100" s="7">
        <v>46100</v>
      </c>
      <c r="P100" s="34"/>
    </row>
    <row r="101" spans="1:16" x14ac:dyDescent="0.35">
      <c r="A101" s="5" t="s">
        <v>1448</v>
      </c>
      <c r="B101" s="6" t="s">
        <v>853</v>
      </c>
      <c r="C101" s="6" t="s">
        <v>854</v>
      </c>
      <c r="D101" s="6" t="str">
        <f>VLOOKUP(B:B,'[2]Hakata Island Team'!$E:$G,3,)</f>
        <v xml:space="preserve">Sujith Sundaran </v>
      </c>
      <c r="E101" s="6" t="str">
        <f>VLOOKUP(B:B,'[2]Hakata Island Team'!$E:$H,4,)</f>
        <v>SPPL Fleet - B</v>
      </c>
      <c r="F101" s="6" t="s">
        <v>1449</v>
      </c>
      <c r="G101" s="6" t="s">
        <v>1045</v>
      </c>
      <c r="H101" s="10" t="b">
        <f>TRUE()</f>
        <v>1</v>
      </c>
      <c r="I101" s="27" t="s">
        <v>1125</v>
      </c>
      <c r="J101" s="7">
        <v>46589</v>
      </c>
      <c r="K101" s="6" t="s">
        <v>1248</v>
      </c>
      <c r="L101" s="6" t="s">
        <v>1167</v>
      </c>
      <c r="M101" s="6" t="s">
        <v>1450</v>
      </c>
      <c r="N101" s="10" t="b">
        <f>FALSE()</f>
        <v>0</v>
      </c>
      <c r="O101" s="7">
        <v>46132</v>
      </c>
      <c r="P101" s="34"/>
    </row>
    <row r="102" spans="1:16" x14ac:dyDescent="0.35">
      <c r="A102" s="5" t="s">
        <v>1451</v>
      </c>
      <c r="B102" s="6" t="s">
        <v>750</v>
      </c>
      <c r="C102" s="6" t="s">
        <v>751</v>
      </c>
      <c r="D102" s="6" t="e">
        <f>VLOOKUP(B:B,'[2]Hakata Island Team'!$E:$G,3,)</f>
        <v>#N/A</v>
      </c>
      <c r="E102" s="6" t="e">
        <f>VLOOKUP(B:B,'[2]Hakata Island Team'!$E:$H,4,)</f>
        <v>#N/A</v>
      </c>
      <c r="F102" s="6" t="s">
        <v>1452</v>
      </c>
      <c r="G102" s="6" t="s">
        <v>1045</v>
      </c>
      <c r="H102" s="10" t="b">
        <f>TRUE()</f>
        <v>1</v>
      </c>
      <c r="I102" s="27" t="s">
        <v>1125</v>
      </c>
      <c r="J102" s="7">
        <v>46438</v>
      </c>
      <c r="K102" s="6" t="s">
        <v>1248</v>
      </c>
      <c r="L102" s="6" t="s">
        <v>1167</v>
      </c>
      <c r="M102" s="6" t="s">
        <v>1453</v>
      </c>
      <c r="N102" s="10" t="b">
        <f>FALSE()</f>
        <v>0</v>
      </c>
      <c r="O102" s="7">
        <v>46101</v>
      </c>
      <c r="P102" s="34"/>
    </row>
    <row r="103" spans="1:16" x14ac:dyDescent="0.35">
      <c r="A103" s="5" t="s">
        <v>1454</v>
      </c>
      <c r="B103" s="6" t="s">
        <v>750</v>
      </c>
      <c r="C103" s="6" t="s">
        <v>751</v>
      </c>
      <c r="D103" s="6" t="e">
        <f>VLOOKUP(B:B,'[2]Hakata Island Team'!$E:$G,3,)</f>
        <v>#N/A</v>
      </c>
      <c r="E103" s="6" t="e">
        <f>VLOOKUP(B:B,'[2]Hakata Island Team'!$E:$H,4,)</f>
        <v>#N/A</v>
      </c>
      <c r="F103" s="6" t="s">
        <v>1455</v>
      </c>
      <c r="G103" s="6" t="s">
        <v>1045</v>
      </c>
      <c r="H103" s="10" t="b">
        <f>TRUE()</f>
        <v>1</v>
      </c>
      <c r="I103" s="27" t="s">
        <v>1125</v>
      </c>
      <c r="J103" s="7">
        <v>46438</v>
      </c>
      <c r="K103" s="6" t="s">
        <v>1248</v>
      </c>
      <c r="L103" s="6" t="s">
        <v>1167</v>
      </c>
      <c r="M103" s="6" t="s">
        <v>1456</v>
      </c>
      <c r="N103" s="10" t="b">
        <f>FALSE()</f>
        <v>0</v>
      </c>
      <c r="O103" s="7">
        <v>46101</v>
      </c>
      <c r="P103" s="34"/>
    </row>
    <row r="104" spans="1:16" x14ac:dyDescent="0.35">
      <c r="A104" s="5" t="s">
        <v>1457</v>
      </c>
      <c r="B104" s="6" t="s">
        <v>575</v>
      </c>
      <c r="C104" s="6" t="s">
        <v>1256</v>
      </c>
      <c r="D104" s="6" t="str">
        <f>VLOOKUP(B:B,'[2]Hakata Island Team'!$E:$G,3,)</f>
        <v>Santosh Kulkarni/Ponnappa</v>
      </c>
      <c r="E104" s="6" t="str">
        <f>VLOOKUP(B:B,'[2]Hakata Island Team'!$E:$H,4,)</f>
        <v>SPPL Fleet - F</v>
      </c>
      <c r="F104" s="6" t="s">
        <v>1458</v>
      </c>
      <c r="G104" s="6" t="s">
        <v>1045</v>
      </c>
      <c r="H104" s="10" t="b">
        <f>TRUE()</f>
        <v>1</v>
      </c>
      <c r="I104" s="27" t="s">
        <v>1125</v>
      </c>
      <c r="J104" s="7"/>
      <c r="K104" s="6" t="s">
        <v>1284</v>
      </c>
      <c r="L104" s="6" t="s">
        <v>1459</v>
      </c>
      <c r="M104" s="6" t="s">
        <v>1460</v>
      </c>
      <c r="N104" s="10" t="b">
        <f>FALSE()</f>
        <v>0</v>
      </c>
      <c r="O104" s="7">
        <v>45470</v>
      </c>
      <c r="P104" s="34"/>
    </row>
    <row r="105" spans="1:16" x14ac:dyDescent="0.35">
      <c r="A105" s="5" t="s">
        <v>1461</v>
      </c>
      <c r="B105" s="6" t="s">
        <v>750</v>
      </c>
      <c r="C105" s="6" t="s">
        <v>751</v>
      </c>
      <c r="D105" s="6" t="e">
        <f>VLOOKUP(B:B,'[2]Hakata Island Team'!$E:$G,3,)</f>
        <v>#N/A</v>
      </c>
      <c r="E105" s="6" t="e">
        <f>VLOOKUP(B:B,'[2]Hakata Island Team'!$E:$H,4,)</f>
        <v>#N/A</v>
      </c>
      <c r="F105" s="6" t="s">
        <v>1462</v>
      </c>
      <c r="G105" s="6" t="s">
        <v>1045</v>
      </c>
      <c r="H105" s="10" t="b">
        <f>TRUE()</f>
        <v>1</v>
      </c>
      <c r="I105" s="27" t="s">
        <v>1125</v>
      </c>
      <c r="J105" s="7">
        <v>47982</v>
      </c>
      <c r="K105" s="6" t="s">
        <v>1248</v>
      </c>
      <c r="L105" s="6" t="s">
        <v>1463</v>
      </c>
      <c r="M105" s="6" t="s">
        <v>1419</v>
      </c>
      <c r="N105" s="10" t="b">
        <f>FALSE()</f>
        <v>0</v>
      </c>
      <c r="O105" s="7">
        <v>46157</v>
      </c>
      <c r="P105" s="34"/>
    </row>
    <row r="106" spans="1:16" x14ac:dyDescent="0.35">
      <c r="A106" s="5" t="s">
        <v>1176</v>
      </c>
      <c r="B106" s="6" t="s">
        <v>1177</v>
      </c>
      <c r="C106" s="6" t="s">
        <v>1178</v>
      </c>
      <c r="D106" s="6" t="str">
        <f>VLOOKUP(B:B,'[2]Hakata Island Team'!$E:$G,3,)</f>
        <v>Santosh Kulkarni</v>
      </c>
      <c r="E106" s="6" t="str">
        <f>VLOOKUP(B:B,'[2]Hakata Island Team'!$E:$H,4,)</f>
        <v>SPPL Fleet - F</v>
      </c>
      <c r="F106" s="6" t="s">
        <v>1179</v>
      </c>
      <c r="G106" s="6" t="s">
        <v>1035</v>
      </c>
      <c r="H106" s="10" t="b">
        <f>TRUE()</f>
        <v>1</v>
      </c>
      <c r="I106" s="27" t="s">
        <v>1125</v>
      </c>
      <c r="J106" s="7">
        <v>46084</v>
      </c>
      <c r="K106" s="6" t="s">
        <v>1029</v>
      </c>
      <c r="L106" s="6" t="s">
        <v>1180</v>
      </c>
      <c r="M106" s="6" t="s">
        <v>1181</v>
      </c>
      <c r="N106" s="10" t="b">
        <f>FALSE()</f>
        <v>0</v>
      </c>
      <c r="O106" s="7">
        <v>45720</v>
      </c>
      <c r="P106" s="34"/>
    </row>
    <row r="107" spans="1:16" x14ac:dyDescent="0.35">
      <c r="A107" s="5" t="s">
        <v>1464</v>
      </c>
      <c r="B107" s="6" t="s">
        <v>113</v>
      </c>
      <c r="C107" s="6" t="s">
        <v>826</v>
      </c>
      <c r="D107" s="6" t="str">
        <f>VLOOKUP(B:B,'[2]Hakata Island Team'!$E:$G,3,)</f>
        <v>Rupak Chundayil Kalam</v>
      </c>
      <c r="E107" s="6" t="str">
        <f>VLOOKUP(B:B,'[2]Hakata Island Team'!$E:$H,4,)</f>
        <v>SPPL Fleet - B</v>
      </c>
      <c r="F107" s="6" t="s">
        <v>1310</v>
      </c>
      <c r="G107" s="6" t="s">
        <v>1045</v>
      </c>
      <c r="H107" s="10" t="b">
        <f>TRUE()</f>
        <v>1</v>
      </c>
      <c r="I107" s="27" t="s">
        <v>1125</v>
      </c>
      <c r="J107" s="7">
        <v>46903</v>
      </c>
      <c r="K107" s="6" t="s">
        <v>1248</v>
      </c>
      <c r="L107" s="6" t="s">
        <v>1037</v>
      </c>
      <c r="M107" s="6" t="s">
        <v>1465</v>
      </c>
      <c r="N107" s="10" t="b">
        <f>TRUE()</f>
        <v>1</v>
      </c>
      <c r="O107" s="7">
        <v>45077</v>
      </c>
      <c r="P107" s="34"/>
    </row>
    <row r="108" spans="1:16" x14ac:dyDescent="0.35">
      <c r="A108" s="5" t="s">
        <v>1466</v>
      </c>
      <c r="B108" s="6" t="s">
        <v>1271</v>
      </c>
      <c r="C108" s="6" t="s">
        <v>1272</v>
      </c>
      <c r="D108" s="6" t="str">
        <f>VLOOKUP(B:B,'[2]Hakata Island Team'!$E:$G,3,)</f>
        <v>Anurag Kumar Singh</v>
      </c>
      <c r="E108" s="6" t="str">
        <f>VLOOKUP(B:B,'[2]Hakata Island Team'!$E:$H,4,)</f>
        <v>SPPL Fleet - D</v>
      </c>
      <c r="F108" s="6" t="s">
        <v>1467</v>
      </c>
      <c r="G108" s="6" t="s">
        <v>1088</v>
      </c>
      <c r="H108" s="10" t="b">
        <f>TRUE()</f>
        <v>1</v>
      </c>
      <c r="I108" s="27" t="s">
        <v>1125</v>
      </c>
      <c r="J108" s="7">
        <v>46904</v>
      </c>
      <c r="K108" s="6" t="s">
        <v>1248</v>
      </c>
      <c r="L108" s="6" t="s">
        <v>1180</v>
      </c>
      <c r="M108" s="6" t="s">
        <v>1468</v>
      </c>
      <c r="N108" s="10" t="b">
        <f>FALSE()</f>
        <v>0</v>
      </c>
      <c r="O108" s="7">
        <v>46173</v>
      </c>
      <c r="P108" s="34"/>
    </row>
    <row r="109" spans="1:16" x14ac:dyDescent="0.35">
      <c r="A109" s="5" t="s">
        <v>1469</v>
      </c>
      <c r="B109" s="6" t="s">
        <v>750</v>
      </c>
      <c r="C109" s="6" t="s">
        <v>751</v>
      </c>
      <c r="D109" s="6" t="e">
        <f>VLOOKUP(B:B,'[2]Hakata Island Team'!$E:$G,3,)</f>
        <v>#N/A</v>
      </c>
      <c r="E109" s="6" t="e">
        <f>VLOOKUP(B:B,'[2]Hakata Island Team'!$E:$H,4,)</f>
        <v>#N/A</v>
      </c>
      <c r="F109" s="6" t="s">
        <v>1470</v>
      </c>
      <c r="G109" s="6" t="s">
        <v>1352</v>
      </c>
      <c r="H109" s="10" t="b">
        <f>TRUE()</f>
        <v>1</v>
      </c>
      <c r="I109" s="27" t="s">
        <v>1125</v>
      </c>
      <c r="J109" s="7">
        <v>46292</v>
      </c>
      <c r="K109" s="6" t="s">
        <v>1248</v>
      </c>
      <c r="L109" s="6" t="s">
        <v>1180</v>
      </c>
      <c r="M109" s="6" t="s">
        <v>1471</v>
      </c>
      <c r="N109" s="10" t="b">
        <f>FALSE()</f>
        <v>0</v>
      </c>
      <c r="O109" s="7">
        <v>45232</v>
      </c>
      <c r="P109" s="34"/>
    </row>
    <row r="110" spans="1:16" x14ac:dyDescent="0.35">
      <c r="A110" s="5" t="s">
        <v>1472</v>
      </c>
      <c r="B110" s="6" t="s">
        <v>750</v>
      </c>
      <c r="C110" s="6" t="s">
        <v>751</v>
      </c>
      <c r="D110" s="6" t="e">
        <f>VLOOKUP(B:B,'[2]Hakata Island Team'!$E:$G,3,)</f>
        <v>#N/A</v>
      </c>
      <c r="E110" s="6" t="e">
        <f>VLOOKUP(B:B,'[2]Hakata Island Team'!$E:$H,4,)</f>
        <v>#N/A</v>
      </c>
      <c r="F110" s="6" t="s">
        <v>1473</v>
      </c>
      <c r="G110" s="6" t="s">
        <v>1136</v>
      </c>
      <c r="H110" s="10" t="b">
        <f>TRUE()</f>
        <v>1</v>
      </c>
      <c r="I110" s="27" t="s">
        <v>1125</v>
      </c>
      <c r="J110" s="7"/>
      <c r="K110" s="6" t="s">
        <v>1284</v>
      </c>
      <c r="L110" s="6" t="s">
        <v>1180</v>
      </c>
      <c r="M110" s="6" t="s">
        <v>1474</v>
      </c>
      <c r="N110" s="10" t="b">
        <f>FALSE()</f>
        <v>0</v>
      </c>
      <c r="O110" s="7">
        <v>45896</v>
      </c>
      <c r="P110" s="34"/>
    </row>
    <row r="111" spans="1:16" x14ac:dyDescent="0.35">
      <c r="A111" s="5" t="s">
        <v>1475</v>
      </c>
      <c r="B111" s="6" t="s">
        <v>575</v>
      </c>
      <c r="C111" s="6" t="s">
        <v>1256</v>
      </c>
      <c r="D111" s="6" t="str">
        <f>VLOOKUP(B:B,'[2]Hakata Island Team'!$E:$G,3,)</f>
        <v>Santosh Kulkarni/Ponnappa</v>
      </c>
      <c r="E111" s="6" t="str">
        <f>VLOOKUP(B:B,'[2]Hakata Island Team'!$E:$H,4,)</f>
        <v>SPPL Fleet - F</v>
      </c>
      <c r="F111" s="6" t="s">
        <v>1476</v>
      </c>
      <c r="G111" s="6" t="s">
        <v>1136</v>
      </c>
      <c r="H111" s="10" t="b">
        <f>TRUE()</f>
        <v>1</v>
      </c>
      <c r="I111" s="27" t="s">
        <v>1125</v>
      </c>
      <c r="J111" s="7"/>
      <c r="K111" s="6" t="s">
        <v>1284</v>
      </c>
      <c r="L111" s="6" t="s">
        <v>1180</v>
      </c>
      <c r="M111" s="6" t="s">
        <v>1477</v>
      </c>
      <c r="N111" s="10" t="b">
        <f>FALSE()</f>
        <v>0</v>
      </c>
      <c r="O111" s="7">
        <v>46007</v>
      </c>
      <c r="P111" s="34"/>
    </row>
    <row r="112" spans="1:16" x14ac:dyDescent="0.35">
      <c r="A112" s="5" t="s">
        <v>1182</v>
      </c>
      <c r="B112" s="6" t="s">
        <v>718</v>
      </c>
      <c r="C112" s="6" t="s">
        <v>719</v>
      </c>
      <c r="D112" s="6" t="str">
        <f>VLOOKUP(B:B,'[2]Hakata Island Team'!$E:$G,3,)</f>
        <v xml:space="preserve">Sujith Sundaran </v>
      </c>
      <c r="E112" s="6" t="str">
        <f>VLOOKUP(B:B,'[2]Hakata Island Team'!$E:$H,4,)</f>
        <v>SPPL Fleet - B</v>
      </c>
      <c r="F112" s="6" t="s">
        <v>1183</v>
      </c>
      <c r="G112" s="6" t="s">
        <v>1035</v>
      </c>
      <c r="H112" s="10" t="b">
        <f>TRUE()</f>
        <v>1</v>
      </c>
      <c r="I112" s="27" t="s">
        <v>1125</v>
      </c>
      <c r="J112" s="7">
        <v>46453</v>
      </c>
      <c r="K112" s="6" t="s">
        <v>1248</v>
      </c>
      <c r="L112" s="6" t="s">
        <v>1184</v>
      </c>
      <c r="M112" s="6" t="s">
        <v>1141</v>
      </c>
      <c r="N112" s="10" t="b">
        <f>FALSE()</f>
        <v>0</v>
      </c>
      <c r="O112" s="7">
        <v>46088</v>
      </c>
      <c r="P112" s="34"/>
    </row>
    <row r="113" spans="1:16" x14ac:dyDescent="0.35">
      <c r="A113" s="5" t="s">
        <v>1186</v>
      </c>
      <c r="B113" s="6" t="s">
        <v>1478</v>
      </c>
      <c r="C113" s="6" t="s">
        <v>1479</v>
      </c>
      <c r="D113" s="6" t="str">
        <f>VLOOKUP(B:B,'[2]Hakata Island Team'!$E:$G,3,)</f>
        <v>Manoj Padmanabhan</v>
      </c>
      <c r="E113" s="6" t="str">
        <f>VLOOKUP(B:B,'[2]Hakata Island Team'!$E:$H,4,)</f>
        <v xml:space="preserve">SPPL Fleet - A </v>
      </c>
      <c r="F113" s="6" t="s">
        <v>1187</v>
      </c>
      <c r="G113" s="6" t="s">
        <v>1035</v>
      </c>
      <c r="H113" s="10" t="b">
        <f>TRUE()</f>
        <v>1</v>
      </c>
      <c r="I113" s="27" t="s">
        <v>1125</v>
      </c>
      <c r="J113" s="7">
        <v>46296</v>
      </c>
      <c r="K113" s="6" t="s">
        <v>1248</v>
      </c>
      <c r="L113" s="6" t="s">
        <v>1184</v>
      </c>
      <c r="M113" s="6" t="s">
        <v>1480</v>
      </c>
      <c r="N113" s="10" t="b">
        <f>TRUE()</f>
        <v>1</v>
      </c>
      <c r="O113" s="7">
        <v>45931</v>
      </c>
      <c r="P113" s="34"/>
    </row>
    <row r="114" spans="1:16" x14ac:dyDescent="0.35">
      <c r="A114" s="5" t="s">
        <v>1481</v>
      </c>
      <c r="B114" s="6" t="s">
        <v>750</v>
      </c>
      <c r="C114" s="6" t="s">
        <v>751</v>
      </c>
      <c r="D114" s="6" t="e">
        <f>VLOOKUP(B:B,'[2]Hakata Island Team'!$E:$G,3,)</f>
        <v>#N/A</v>
      </c>
      <c r="E114" s="6" t="e">
        <f>VLOOKUP(B:B,'[2]Hakata Island Team'!$E:$H,4,)</f>
        <v>#N/A</v>
      </c>
      <c r="F114" s="6" t="s">
        <v>1482</v>
      </c>
      <c r="G114" s="6" t="s">
        <v>1136</v>
      </c>
      <c r="H114" s="10" t="b">
        <f>TRUE()</f>
        <v>1</v>
      </c>
      <c r="I114" s="27" t="s">
        <v>1125</v>
      </c>
      <c r="J114" s="7"/>
      <c r="K114" s="6" t="s">
        <v>1284</v>
      </c>
      <c r="L114" s="6" t="s">
        <v>1196</v>
      </c>
      <c r="M114" s="6" t="s">
        <v>1270</v>
      </c>
      <c r="N114" s="10" t="b">
        <f>FALSE()</f>
        <v>0</v>
      </c>
      <c r="O114" s="7">
        <v>46157</v>
      </c>
      <c r="P114" s="34"/>
    </row>
    <row r="115" spans="1:16" x14ac:dyDescent="0.35">
      <c r="A115" s="5" t="s">
        <v>1483</v>
      </c>
      <c r="B115" s="6" t="s">
        <v>273</v>
      </c>
      <c r="C115" s="6" t="s">
        <v>1287</v>
      </c>
      <c r="D115" s="6" t="str">
        <f>VLOOKUP(B:B,'[2]Hakata Island Team'!$E:$G,3,)</f>
        <v>Umesh Sasle</v>
      </c>
      <c r="E115" s="6" t="str">
        <f>VLOOKUP(B:B,'[2]Hakata Island Team'!$E:$H,4,)</f>
        <v>SPPL Fleet - F</v>
      </c>
      <c r="F115" s="6" t="s">
        <v>1484</v>
      </c>
      <c r="G115" s="6" t="s">
        <v>1091</v>
      </c>
      <c r="H115" s="10" t="b">
        <f>TRUE()</f>
        <v>1</v>
      </c>
      <c r="I115" s="27" t="s">
        <v>1125</v>
      </c>
      <c r="J115" s="7">
        <v>46542</v>
      </c>
      <c r="K115" s="6" t="s">
        <v>1248</v>
      </c>
      <c r="L115" s="6" t="s">
        <v>1184</v>
      </c>
      <c r="M115" s="6" t="s">
        <v>1485</v>
      </c>
      <c r="N115" s="10" t="b">
        <f>FALSE()</f>
        <v>0</v>
      </c>
      <c r="O115" s="7">
        <v>46178</v>
      </c>
      <c r="P115" s="34"/>
    </row>
    <row r="116" spans="1:16" x14ac:dyDescent="0.35">
      <c r="A116" s="5" t="s">
        <v>1189</v>
      </c>
      <c r="B116" s="6" t="s">
        <v>544</v>
      </c>
      <c r="C116" s="6" t="s">
        <v>1059</v>
      </c>
      <c r="D116" s="6" t="str">
        <f>VLOOKUP(B:B,'[2]Hakata Island Team'!$E:$G,3,)</f>
        <v xml:space="preserve">Sujith Sundaran </v>
      </c>
      <c r="E116" s="6" t="str">
        <f>VLOOKUP(B:B,'[2]Hakata Island Team'!$E:$H,4,)</f>
        <v>SPPL Fleet - B</v>
      </c>
      <c r="F116" s="6" t="s">
        <v>1192</v>
      </c>
      <c r="G116" s="6" t="s">
        <v>1091</v>
      </c>
      <c r="H116" s="10" t="b">
        <f>TRUE()</f>
        <v>1</v>
      </c>
      <c r="I116" s="27" t="s">
        <v>1125</v>
      </c>
      <c r="J116" s="7">
        <v>46429</v>
      </c>
      <c r="K116" s="6" t="s">
        <v>1248</v>
      </c>
      <c r="L116" s="6" t="s">
        <v>1184</v>
      </c>
      <c r="M116" s="6" t="s">
        <v>1141</v>
      </c>
      <c r="N116" s="10" t="b">
        <f>FALSE()</f>
        <v>0</v>
      </c>
      <c r="O116" s="7">
        <v>45777</v>
      </c>
      <c r="P116" s="34"/>
    </row>
    <row r="117" spans="1:16" x14ac:dyDescent="0.35">
      <c r="A117" s="5" t="s">
        <v>1198</v>
      </c>
      <c r="B117" s="6" t="s">
        <v>544</v>
      </c>
      <c r="C117" s="6" t="s">
        <v>1059</v>
      </c>
      <c r="D117" s="6" t="str">
        <f>VLOOKUP(B:B,'[2]Hakata Island Team'!$E:$G,3,)</f>
        <v xml:space="preserve">Sujith Sundaran </v>
      </c>
      <c r="E117" s="6" t="str">
        <f>VLOOKUP(B:B,'[2]Hakata Island Team'!$E:$H,4,)</f>
        <v>SPPL Fleet - B</v>
      </c>
      <c r="F117" s="6" t="s">
        <v>1199</v>
      </c>
      <c r="G117" s="6" t="s">
        <v>1035</v>
      </c>
      <c r="H117" s="10" t="b">
        <f>TRUE()</f>
        <v>1</v>
      </c>
      <c r="I117" s="27" t="s">
        <v>1125</v>
      </c>
      <c r="J117" s="7">
        <v>46509</v>
      </c>
      <c r="K117" s="6" t="s">
        <v>1248</v>
      </c>
      <c r="L117" s="6" t="s">
        <v>1201</v>
      </c>
      <c r="M117" s="6" t="s">
        <v>1486</v>
      </c>
      <c r="N117" s="10" t="b">
        <f>FALSE()</f>
        <v>0</v>
      </c>
      <c r="O117" s="7">
        <v>45758</v>
      </c>
      <c r="P117" s="34"/>
    </row>
    <row r="118" spans="1:16" x14ac:dyDescent="0.35">
      <c r="A118" s="5" t="s">
        <v>1198</v>
      </c>
      <c r="B118" s="6" t="s">
        <v>718</v>
      </c>
      <c r="C118" s="6" t="s">
        <v>719</v>
      </c>
      <c r="D118" s="6" t="str">
        <f>VLOOKUP(B:B,'[2]Hakata Island Team'!$E:$G,3,)</f>
        <v xml:space="preserve">Sujith Sundaran </v>
      </c>
      <c r="E118" s="6" t="str">
        <f>VLOOKUP(B:B,'[2]Hakata Island Team'!$E:$H,4,)</f>
        <v>SPPL Fleet - B</v>
      </c>
      <c r="F118" s="6" t="s">
        <v>1199</v>
      </c>
      <c r="G118" s="6" t="s">
        <v>1200</v>
      </c>
      <c r="H118" s="10" t="b">
        <f>TRUE()</f>
        <v>1</v>
      </c>
      <c r="I118" s="27" t="s">
        <v>1125</v>
      </c>
      <c r="J118" s="7">
        <v>46260</v>
      </c>
      <c r="K118" s="6" t="s">
        <v>1248</v>
      </c>
      <c r="L118" s="6" t="s">
        <v>1201</v>
      </c>
      <c r="M118" s="6" t="s">
        <v>1141</v>
      </c>
      <c r="N118" s="10" t="b">
        <f>FALSE()</f>
        <v>0</v>
      </c>
      <c r="O118" s="7">
        <v>46080</v>
      </c>
      <c r="P118" s="34"/>
    </row>
    <row r="119" spans="1:16" x14ac:dyDescent="0.35">
      <c r="A119" s="5" t="s">
        <v>1204</v>
      </c>
      <c r="B119" s="6" t="s">
        <v>718</v>
      </c>
      <c r="C119" s="6" t="s">
        <v>719</v>
      </c>
      <c r="D119" s="6" t="str">
        <f>VLOOKUP(B:B,'[2]Hakata Island Team'!$E:$G,3,)</f>
        <v xml:space="preserve">Sujith Sundaran </v>
      </c>
      <c r="E119" s="6" t="str">
        <f>VLOOKUP(B:B,'[2]Hakata Island Team'!$E:$H,4,)</f>
        <v>SPPL Fleet - B</v>
      </c>
      <c r="F119" s="6" t="s">
        <v>1205</v>
      </c>
      <c r="G119" s="6" t="s">
        <v>1035</v>
      </c>
      <c r="H119" s="10" t="b">
        <f>TRUE()</f>
        <v>1</v>
      </c>
      <c r="I119" s="27" t="s">
        <v>1125</v>
      </c>
      <c r="J119" s="7">
        <v>46502</v>
      </c>
      <c r="K119" s="6" t="s">
        <v>1248</v>
      </c>
      <c r="L119" s="6" t="s">
        <v>1201</v>
      </c>
      <c r="M119" s="6" t="s">
        <v>1141</v>
      </c>
      <c r="N119" s="10" t="b">
        <f>FALSE()</f>
        <v>0</v>
      </c>
      <c r="O119" s="7">
        <v>46137</v>
      </c>
      <c r="P119" s="34"/>
    </row>
    <row r="120" spans="1:16" x14ac:dyDescent="0.35">
      <c r="A120" s="5" t="s">
        <v>1487</v>
      </c>
      <c r="B120" s="6" t="s">
        <v>210</v>
      </c>
      <c r="C120" s="6" t="s">
        <v>1044</v>
      </c>
      <c r="D120" s="6" t="str">
        <f>VLOOKUP(B:B,'[2]Hakata Island Team'!$E:$G,3,)</f>
        <v>Umesh Sasle</v>
      </c>
      <c r="E120" s="6" t="str">
        <f>VLOOKUP(B:B,'[2]Hakata Island Team'!$E:$H,4,)</f>
        <v>SPPL Fleet - F</v>
      </c>
      <c r="F120" s="6" t="s">
        <v>1488</v>
      </c>
      <c r="G120" s="6" t="s">
        <v>1027</v>
      </c>
      <c r="H120" s="10" t="b">
        <f>TRUE()</f>
        <v>1</v>
      </c>
      <c r="I120" s="27" t="s">
        <v>1125</v>
      </c>
      <c r="J120" s="7">
        <v>46332</v>
      </c>
      <c r="K120" s="6" t="s">
        <v>1248</v>
      </c>
      <c r="L120" s="6" t="s">
        <v>1201</v>
      </c>
      <c r="M120" s="6" t="s">
        <v>1489</v>
      </c>
      <c r="N120" s="10" t="b">
        <f>FALSE()</f>
        <v>0</v>
      </c>
      <c r="O120" s="7">
        <v>45968</v>
      </c>
      <c r="P120" s="34"/>
    </row>
    <row r="121" spans="1:16" x14ac:dyDescent="0.35">
      <c r="A121" s="5" t="s">
        <v>1206</v>
      </c>
      <c r="B121" s="6" t="s">
        <v>1378</v>
      </c>
      <c r="C121" s="6" t="s">
        <v>1379</v>
      </c>
      <c r="D121" s="6" t="str">
        <f>VLOOKUP(B:B,'[2]Hakata Island Team'!$E:$G,3,)</f>
        <v>Santosh Kulkarni/Ponnappa</v>
      </c>
      <c r="E121" s="6" t="str">
        <f>VLOOKUP(B:B,'[2]Hakata Island Team'!$E:$H,4,)</f>
        <v>SPPL Fleet - F</v>
      </c>
      <c r="F121" s="6" t="s">
        <v>1207</v>
      </c>
      <c r="G121" s="6" t="s">
        <v>1045</v>
      </c>
      <c r="H121" s="10" t="b">
        <f>TRUE()</f>
        <v>1</v>
      </c>
      <c r="I121" s="27" t="s">
        <v>1125</v>
      </c>
      <c r="J121" s="7">
        <v>46388</v>
      </c>
      <c r="K121" s="6" t="s">
        <v>1248</v>
      </c>
      <c r="L121" s="6" t="s">
        <v>1167</v>
      </c>
      <c r="M121" s="6" t="s">
        <v>1490</v>
      </c>
      <c r="N121" s="10" t="b">
        <f>FALSE()</f>
        <v>0</v>
      </c>
      <c r="O121" s="7">
        <v>46189</v>
      </c>
      <c r="P121" s="34"/>
    </row>
    <row r="122" spans="1:16" x14ac:dyDescent="0.35">
      <c r="A122" s="5" t="s">
        <v>1209</v>
      </c>
      <c r="B122" s="6" t="s">
        <v>718</v>
      </c>
      <c r="C122" s="6" t="s">
        <v>719</v>
      </c>
      <c r="D122" s="6" t="str">
        <f>VLOOKUP(B:B,'[2]Hakata Island Team'!$E:$G,3,)</f>
        <v xml:space="preserve">Sujith Sundaran </v>
      </c>
      <c r="E122" s="6" t="str">
        <f>VLOOKUP(B:B,'[2]Hakata Island Team'!$E:$H,4,)</f>
        <v>SPPL Fleet - B</v>
      </c>
      <c r="F122" s="6" t="s">
        <v>1210</v>
      </c>
      <c r="G122" s="6" t="s">
        <v>1035</v>
      </c>
      <c r="H122" s="10" t="b">
        <f>TRUE()</f>
        <v>1</v>
      </c>
      <c r="I122" s="27" t="s">
        <v>1125</v>
      </c>
      <c r="J122" s="7">
        <v>46452</v>
      </c>
      <c r="K122" s="6" t="s">
        <v>1248</v>
      </c>
      <c r="L122" s="6" t="s">
        <v>1201</v>
      </c>
      <c r="M122" s="6" t="s">
        <v>1491</v>
      </c>
      <c r="N122" s="10" t="b">
        <f>FALSE()</f>
        <v>0</v>
      </c>
      <c r="O122" s="7">
        <v>46087</v>
      </c>
      <c r="P122" s="34"/>
    </row>
    <row r="123" spans="1:16" x14ac:dyDescent="0.35">
      <c r="A123" s="5" t="s">
        <v>1212</v>
      </c>
      <c r="B123" s="6" t="s">
        <v>750</v>
      </c>
      <c r="C123" s="6" t="s">
        <v>751</v>
      </c>
      <c r="D123" s="6" t="e">
        <f>VLOOKUP(B:B,'[2]Hakata Island Team'!$E:$G,3,)</f>
        <v>#N/A</v>
      </c>
      <c r="E123" s="6" t="e">
        <f>VLOOKUP(B:B,'[2]Hakata Island Team'!$E:$H,4,)</f>
        <v>#N/A</v>
      </c>
      <c r="F123" s="6" t="s">
        <v>1213</v>
      </c>
      <c r="G123" s="6" t="s">
        <v>1035</v>
      </c>
      <c r="H123" s="10" t="b">
        <f>TRUE()</f>
        <v>1</v>
      </c>
      <c r="I123" s="27" t="s">
        <v>1125</v>
      </c>
      <c r="J123" s="7">
        <v>46470</v>
      </c>
      <c r="K123" s="6" t="s">
        <v>1248</v>
      </c>
      <c r="L123" s="6" t="s">
        <v>1201</v>
      </c>
      <c r="M123" s="6" t="s">
        <v>1492</v>
      </c>
      <c r="N123" s="10" t="b">
        <f>FALSE()</f>
        <v>0</v>
      </c>
      <c r="O123" s="7">
        <v>46106</v>
      </c>
      <c r="P123" s="34"/>
    </row>
    <row r="124" spans="1:16" x14ac:dyDescent="0.35">
      <c r="A124" s="5" t="s">
        <v>1493</v>
      </c>
      <c r="B124" s="6" t="s">
        <v>718</v>
      </c>
      <c r="C124" s="6" t="s">
        <v>719</v>
      </c>
      <c r="D124" s="6" t="str">
        <f>VLOOKUP(B:B,'[2]Hakata Island Team'!$E:$G,3,)</f>
        <v xml:space="preserve">Sujith Sundaran </v>
      </c>
      <c r="E124" s="6" t="str">
        <f>VLOOKUP(B:B,'[2]Hakata Island Team'!$E:$H,4,)</f>
        <v>SPPL Fleet - B</v>
      </c>
      <c r="F124" s="6" t="s">
        <v>1163</v>
      </c>
      <c r="G124" s="6" t="s">
        <v>1127</v>
      </c>
      <c r="H124" s="10" t="b">
        <f>TRUE()</f>
        <v>1</v>
      </c>
      <c r="I124" s="27" t="s">
        <v>1125</v>
      </c>
      <c r="J124" s="7">
        <v>46220</v>
      </c>
      <c r="K124" s="6" t="s">
        <v>1248</v>
      </c>
      <c r="L124" s="6" t="s">
        <v>1030</v>
      </c>
      <c r="M124" s="6" t="s">
        <v>1494</v>
      </c>
      <c r="N124" s="10" t="b">
        <f>FALSE()</f>
        <v>0</v>
      </c>
      <c r="O124" s="7">
        <v>46129</v>
      </c>
      <c r="P124" s="34"/>
    </row>
    <row r="125" spans="1:16" x14ac:dyDescent="0.35">
      <c r="A125" s="5" t="s">
        <v>1495</v>
      </c>
      <c r="B125" s="6" t="s">
        <v>544</v>
      </c>
      <c r="C125" s="6" t="s">
        <v>1059</v>
      </c>
      <c r="D125" s="6" t="str">
        <f>VLOOKUP(B:B,'[2]Hakata Island Team'!$E:$G,3,)</f>
        <v xml:space="preserve">Sujith Sundaran </v>
      </c>
      <c r="E125" s="6" t="str">
        <f>VLOOKUP(B:B,'[2]Hakata Island Team'!$E:$H,4,)</f>
        <v>SPPL Fleet - B</v>
      </c>
      <c r="F125" s="6" t="s">
        <v>1496</v>
      </c>
      <c r="G125" s="6" t="s">
        <v>1035</v>
      </c>
      <c r="H125" s="10" t="b">
        <f>TRUE()</f>
        <v>1</v>
      </c>
      <c r="I125" s="27" t="s">
        <v>1125</v>
      </c>
      <c r="J125" s="7">
        <v>46522</v>
      </c>
      <c r="K125" s="6" t="s">
        <v>1248</v>
      </c>
      <c r="L125" s="6" t="s">
        <v>1037</v>
      </c>
      <c r="M125" s="6" t="s">
        <v>1497</v>
      </c>
      <c r="N125" s="10" t="b">
        <f>FALSE()</f>
        <v>0</v>
      </c>
      <c r="O125" s="7">
        <v>45766</v>
      </c>
      <c r="P125" s="34"/>
    </row>
    <row r="126" spans="1:16" x14ac:dyDescent="0.35">
      <c r="A126" s="5" t="s">
        <v>1498</v>
      </c>
      <c r="B126" s="6" t="s">
        <v>750</v>
      </c>
      <c r="C126" s="6" t="s">
        <v>751</v>
      </c>
      <c r="D126" s="6" t="e">
        <f>VLOOKUP(B:B,'[2]Hakata Island Team'!$E:$G,3,)</f>
        <v>#N/A</v>
      </c>
      <c r="E126" s="6" t="e">
        <f>VLOOKUP(B:B,'[2]Hakata Island Team'!$E:$H,4,)</f>
        <v>#N/A</v>
      </c>
      <c r="F126" s="6" t="s">
        <v>1499</v>
      </c>
      <c r="G126" s="6" t="s">
        <v>1035</v>
      </c>
      <c r="H126" s="10" t="b">
        <f>TRUE()</f>
        <v>1</v>
      </c>
      <c r="I126" s="27" t="s">
        <v>1125</v>
      </c>
      <c r="J126" s="7">
        <v>46461</v>
      </c>
      <c r="K126" s="6" t="s">
        <v>1248</v>
      </c>
      <c r="L126" s="6" t="s">
        <v>1221</v>
      </c>
      <c r="M126" s="6" t="s">
        <v>1500</v>
      </c>
      <c r="N126" s="10" t="b">
        <f>FALSE()</f>
        <v>0</v>
      </c>
      <c r="O126" s="7">
        <v>46097</v>
      </c>
      <c r="P126" s="34"/>
    </row>
    <row r="127" spans="1:16" x14ac:dyDescent="0.35">
      <c r="A127" s="5" t="s">
        <v>1239</v>
      </c>
      <c r="B127" s="6" t="s">
        <v>750</v>
      </c>
      <c r="C127" s="6" t="s">
        <v>751</v>
      </c>
      <c r="D127" s="6" t="e">
        <f>VLOOKUP(B:B,'[2]Hakata Island Team'!$E:$G,3,)</f>
        <v>#N/A</v>
      </c>
      <c r="E127" s="6" t="e">
        <f>VLOOKUP(B:B,'[2]Hakata Island Team'!$E:$H,4,)</f>
        <v>#N/A</v>
      </c>
      <c r="F127" s="6" t="s">
        <v>1240</v>
      </c>
      <c r="G127" s="6" t="s">
        <v>1035</v>
      </c>
      <c r="H127" s="10" t="b">
        <f>TRUE()</f>
        <v>1</v>
      </c>
      <c r="I127" s="27" t="s">
        <v>1125</v>
      </c>
      <c r="J127" s="7">
        <v>46492</v>
      </c>
      <c r="K127" s="6" t="s">
        <v>1248</v>
      </c>
      <c r="L127" s="6" t="s">
        <v>1184</v>
      </c>
      <c r="M127" s="6" t="s">
        <v>1501</v>
      </c>
      <c r="N127" s="10" t="b">
        <f>FALSE()</f>
        <v>0</v>
      </c>
      <c r="O127" s="7">
        <v>46127</v>
      </c>
      <c r="P127" s="34"/>
    </row>
    <row r="128" spans="1:16" x14ac:dyDescent="0.35">
      <c r="A128" s="5" t="s">
        <v>1242</v>
      </c>
      <c r="B128" s="6" t="s">
        <v>1502</v>
      </c>
      <c r="C128" s="6" t="s">
        <v>1503</v>
      </c>
      <c r="D128" s="6" t="str">
        <f>VLOOKUP(B:B,'[2]Hakata Island Team'!$E:$G,3,)</f>
        <v>Rajesh Kumar</v>
      </c>
      <c r="E128" s="6" t="str">
        <f>VLOOKUP(B:B,'[2]Hakata Island Team'!$E:$H,4,)</f>
        <v>SPPL Fleet - C</v>
      </c>
      <c r="F128" s="6" t="s">
        <v>1243</v>
      </c>
      <c r="G128" s="6" t="s">
        <v>1035</v>
      </c>
      <c r="H128" s="10" t="b">
        <f>TRUE()</f>
        <v>1</v>
      </c>
      <c r="I128" s="27" t="s">
        <v>1125</v>
      </c>
      <c r="J128" s="7">
        <v>46348</v>
      </c>
      <c r="K128" s="6" t="s">
        <v>1248</v>
      </c>
      <c r="L128" s="6" t="s">
        <v>1184</v>
      </c>
      <c r="M128" s="6" t="s">
        <v>1504</v>
      </c>
      <c r="N128" s="10" t="b">
        <f>FALSE()</f>
        <v>0</v>
      </c>
      <c r="O128" s="7">
        <v>45984</v>
      </c>
      <c r="P128" s="34"/>
    </row>
    <row r="129" spans="1:16" x14ac:dyDescent="0.35">
      <c r="A129" s="5" t="s">
        <v>1505</v>
      </c>
      <c r="B129" s="6" t="s">
        <v>1506</v>
      </c>
      <c r="C129" s="6" t="s">
        <v>1507</v>
      </c>
      <c r="D129" s="6" t="str">
        <f>VLOOKUP(B:B,'[2]Hakata Island Team'!$E:$G,3,)</f>
        <v>Parry Paul Mampara</v>
      </c>
      <c r="E129" s="6" t="str">
        <f>VLOOKUP(B:B,'[2]Hakata Island Team'!$E:$H,4,)</f>
        <v>SPPL Fleet - C</v>
      </c>
      <c r="F129" s="6" t="s">
        <v>1508</v>
      </c>
      <c r="G129" s="6" t="s">
        <v>1091</v>
      </c>
      <c r="H129" s="10" t="b">
        <f>TRUE()</f>
        <v>1</v>
      </c>
      <c r="I129" s="27" t="s">
        <v>1125</v>
      </c>
      <c r="J129" s="7">
        <v>46553</v>
      </c>
      <c r="K129" s="6" t="s">
        <v>1248</v>
      </c>
      <c r="L129" s="6" t="s">
        <v>1184</v>
      </c>
      <c r="M129" s="6" t="s">
        <v>1509</v>
      </c>
      <c r="N129" s="10" t="b">
        <f>FALSE()</f>
        <v>0</v>
      </c>
      <c r="O129" s="7">
        <v>46189</v>
      </c>
      <c r="P129" s="34"/>
    </row>
    <row r="130" spans="1:16" x14ac:dyDescent="0.35">
      <c r="A130" s="5" t="s">
        <v>1510</v>
      </c>
      <c r="B130" s="6" t="s">
        <v>98</v>
      </c>
      <c r="C130" s="6" t="s">
        <v>861</v>
      </c>
      <c r="D130" s="6" t="str">
        <f>VLOOKUP(B:B,'[2]Hakata Island Team'!$E:$G,3,)</f>
        <v xml:space="preserve">Sujith Sundaran </v>
      </c>
      <c r="E130" s="6" t="str">
        <f>VLOOKUP(B:B,'[2]Hakata Island Team'!$E:$H,4,)</f>
        <v>SPPL Fleet - B</v>
      </c>
      <c r="F130" s="6" t="s">
        <v>1511</v>
      </c>
      <c r="G130" s="6" t="s">
        <v>1045</v>
      </c>
      <c r="H130" s="10" t="b">
        <f>TRUE()</f>
        <v>1</v>
      </c>
      <c r="I130" s="27" t="s">
        <v>1125</v>
      </c>
      <c r="J130" s="7">
        <v>47143</v>
      </c>
      <c r="K130" s="6" t="s">
        <v>1248</v>
      </c>
      <c r="L130" s="6" t="s">
        <v>1184</v>
      </c>
      <c r="M130" s="6" t="s">
        <v>1141</v>
      </c>
      <c r="N130" s="10" t="b">
        <f>FALSE()</f>
        <v>0</v>
      </c>
      <c r="O130" s="7">
        <v>45317</v>
      </c>
      <c r="P130" s="34"/>
    </row>
    <row r="131" spans="1:16" x14ac:dyDescent="0.35">
      <c r="A131" s="5" t="s">
        <v>1510</v>
      </c>
      <c r="B131" s="6" t="s">
        <v>575</v>
      </c>
      <c r="C131" s="6" t="s">
        <v>1256</v>
      </c>
      <c r="D131" s="6" t="str">
        <f>VLOOKUP(B:B,'[2]Hakata Island Team'!$E:$G,3,)</f>
        <v>Santosh Kulkarni/Ponnappa</v>
      </c>
      <c r="E131" s="6" t="str">
        <f>VLOOKUP(B:B,'[2]Hakata Island Team'!$E:$H,4,)</f>
        <v>SPPL Fleet - F</v>
      </c>
      <c r="F131" s="6" t="s">
        <v>1511</v>
      </c>
      <c r="G131" s="6" t="s">
        <v>1045</v>
      </c>
      <c r="H131" s="10" t="b">
        <f>TRUE()</f>
        <v>1</v>
      </c>
      <c r="I131" s="27" t="s">
        <v>1125</v>
      </c>
      <c r="J131" s="7">
        <v>47090</v>
      </c>
      <c r="K131" s="6" t="s">
        <v>1248</v>
      </c>
      <c r="L131" s="6" t="s">
        <v>1184</v>
      </c>
      <c r="M131" s="6" t="s">
        <v>1512</v>
      </c>
      <c r="N131" s="10" t="b">
        <f>FALSE()</f>
        <v>0</v>
      </c>
      <c r="O131" s="7">
        <v>45995</v>
      </c>
      <c r="P131" s="34"/>
    </row>
    <row r="132" spans="1:16" x14ac:dyDescent="0.35">
      <c r="A132" s="5" t="s">
        <v>1513</v>
      </c>
      <c r="B132" s="6" t="s">
        <v>575</v>
      </c>
      <c r="C132" s="6" t="s">
        <v>1256</v>
      </c>
      <c r="D132" s="6" t="str">
        <f>VLOOKUP(B:B,'[2]Hakata Island Team'!$E:$G,3,)</f>
        <v>Santosh Kulkarni/Ponnappa</v>
      </c>
      <c r="E132" s="6" t="str">
        <f>VLOOKUP(B:B,'[2]Hakata Island Team'!$E:$H,4,)</f>
        <v>SPPL Fleet - F</v>
      </c>
      <c r="F132" s="6" t="s">
        <v>1514</v>
      </c>
      <c r="G132" s="6" t="s">
        <v>1045</v>
      </c>
      <c r="H132" s="10" t="b">
        <f>TRUE()</f>
        <v>1</v>
      </c>
      <c r="I132" s="27" t="s">
        <v>1125</v>
      </c>
      <c r="J132" s="7"/>
      <c r="K132" s="6" t="s">
        <v>1284</v>
      </c>
      <c r="L132" s="6" t="s">
        <v>1184</v>
      </c>
      <c r="M132" s="6" t="s">
        <v>1515</v>
      </c>
      <c r="N132" s="10" t="b">
        <f>FALSE()</f>
        <v>0</v>
      </c>
      <c r="O132" s="7">
        <v>46009</v>
      </c>
      <c r="P132" s="34"/>
    </row>
    <row r="133" spans="1:16" x14ac:dyDescent="0.35">
      <c r="A133" s="20" t="s">
        <v>1516</v>
      </c>
      <c r="B133" s="21" t="s">
        <v>84</v>
      </c>
      <c r="C133" s="21" t="s">
        <v>1517</v>
      </c>
      <c r="D133" s="21" t="str">
        <f>VLOOKUP(B:B,'[2]Hakata Island Team'!$E:$G,3,)</f>
        <v>Madhan Sridhar</v>
      </c>
      <c r="E133" s="21" t="str">
        <f>VLOOKUP(B:B,'[2]Hakata Island Team'!$E:$H,4,)</f>
        <v>SPPL Fleet - D</v>
      </c>
      <c r="F133" s="21" t="s">
        <v>1518</v>
      </c>
      <c r="G133" s="21" t="s">
        <v>1352</v>
      </c>
      <c r="H133" s="24" t="b">
        <f>TRUE()</f>
        <v>1</v>
      </c>
      <c r="I133" s="31" t="s">
        <v>1125</v>
      </c>
      <c r="J133" s="32">
        <v>47941</v>
      </c>
      <c r="K133" s="21" t="s">
        <v>1248</v>
      </c>
      <c r="L133" s="21" t="s">
        <v>1184</v>
      </c>
      <c r="M133" s="21" t="s">
        <v>1519</v>
      </c>
      <c r="N133" s="24" t="b">
        <f>FALSE()</f>
        <v>0</v>
      </c>
      <c r="O133" s="32">
        <v>46120</v>
      </c>
      <c r="P133" s="35"/>
    </row>
  </sheetData>
  <hyperlinks>
    <hyperlink ref="D1" location="Summary!A1" display="Back to summary" xr:uid="{920E2487-E66A-434D-B89F-371BD101C9C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B425-ECEC-48F6-A31E-86636B1FC25A}">
  <dimension ref="A1:U229"/>
  <sheetViews>
    <sheetView workbookViewId="0">
      <selection activeCell="C1" sqref="C1"/>
    </sheetView>
  </sheetViews>
  <sheetFormatPr defaultRowHeight="14.5" x14ac:dyDescent="0.35"/>
  <cols>
    <col min="1" max="1" width="13.1796875" bestFit="1" customWidth="1"/>
    <col min="2" max="2" width="13.26953125" bestFit="1" customWidth="1"/>
    <col min="3" max="3" width="20.36328125" bestFit="1" customWidth="1"/>
    <col min="4" max="5" width="20.36328125" customWidth="1"/>
    <col min="6" max="6" width="40" bestFit="1" customWidth="1"/>
    <col min="7" max="7" width="13" bestFit="1" customWidth="1"/>
    <col min="8" max="8" width="10.7265625" bestFit="1" customWidth="1"/>
    <col min="9" max="9" width="72.26953125" bestFit="1" customWidth="1"/>
    <col min="10" max="10" width="19.453125" bestFit="1" customWidth="1"/>
    <col min="11" max="11" width="13.1796875" bestFit="1" customWidth="1"/>
    <col min="12" max="12" width="19.90625" bestFit="1" customWidth="1"/>
    <col min="13" max="13" width="18.54296875" bestFit="1" customWidth="1"/>
    <col min="14" max="14" width="16.81640625" bestFit="1" customWidth="1"/>
    <col min="15" max="15" width="23.36328125" bestFit="1" customWidth="1"/>
    <col min="16" max="16" width="12.1796875" style="13" bestFit="1" customWidth="1"/>
    <col min="17" max="17" width="13.54296875" bestFit="1" customWidth="1"/>
    <col min="18" max="18" width="15.26953125" bestFit="1" customWidth="1"/>
    <col min="19" max="19" width="21.26953125" bestFit="1" customWidth="1"/>
    <col min="20" max="20" width="16.7265625" bestFit="1" customWidth="1"/>
    <col min="21" max="21" width="17.08984375" bestFit="1" customWidth="1"/>
  </cols>
  <sheetData>
    <row r="1" spans="1:21" x14ac:dyDescent="0.35">
      <c r="C1" s="48" t="s">
        <v>2102</v>
      </c>
    </row>
    <row r="2" spans="1:21" s="4" customFormat="1" x14ac:dyDescent="0.35">
      <c r="A2" s="1" t="s">
        <v>1520</v>
      </c>
      <c r="B2" s="2" t="s">
        <v>482</v>
      </c>
      <c r="C2" s="2" t="s">
        <v>4</v>
      </c>
      <c r="D2" s="2" t="s">
        <v>5</v>
      </c>
      <c r="E2" s="2" t="s">
        <v>6</v>
      </c>
      <c r="F2" s="2" t="s">
        <v>1521</v>
      </c>
      <c r="G2" s="2" t="s">
        <v>1522</v>
      </c>
      <c r="H2" s="2" t="s">
        <v>12</v>
      </c>
      <c r="I2" s="2" t="s">
        <v>1523</v>
      </c>
      <c r="J2" s="2" t="s">
        <v>1524</v>
      </c>
      <c r="K2" s="2" t="s">
        <v>1525</v>
      </c>
      <c r="L2" s="2" t="s">
        <v>1526</v>
      </c>
      <c r="M2" s="2" t="s">
        <v>1527</v>
      </c>
      <c r="N2" s="2" t="s">
        <v>1528</v>
      </c>
      <c r="O2" s="2" t="s">
        <v>1017</v>
      </c>
      <c r="P2" s="2" t="s">
        <v>10</v>
      </c>
      <c r="Q2" s="2" t="s">
        <v>1022</v>
      </c>
      <c r="R2" s="2" t="s">
        <v>1023</v>
      </c>
      <c r="S2" s="2" t="s">
        <v>1529</v>
      </c>
      <c r="T2" s="2" t="s">
        <v>1530</v>
      </c>
      <c r="U2" s="3" t="s">
        <v>1531</v>
      </c>
    </row>
    <row r="3" spans="1:21" x14ac:dyDescent="0.35">
      <c r="A3" s="5" t="s">
        <v>1297</v>
      </c>
      <c r="B3" s="6" t="s">
        <v>1532</v>
      </c>
      <c r="C3" s="6" t="s">
        <v>1533</v>
      </c>
      <c r="D3" s="42" t="str">
        <f>VLOOKUP(B:B,'[2]Hakata Island Team'!$E:$G,3,)</f>
        <v>Praveen Kumar</v>
      </c>
      <c r="E3" s="42" t="str">
        <f>VLOOKUP(B:B,'[2]Hakata Island Team'!$E:$H,4,)</f>
        <v>SPPL Fleet - G</v>
      </c>
      <c r="F3" s="6" t="s">
        <v>1534</v>
      </c>
      <c r="G3" s="6" t="s">
        <v>1535</v>
      </c>
      <c r="H3" s="7">
        <v>46023</v>
      </c>
      <c r="I3" s="6" t="s">
        <v>1298</v>
      </c>
      <c r="J3" s="6" t="s">
        <v>1536</v>
      </c>
      <c r="K3" s="6" t="s">
        <v>45</v>
      </c>
      <c r="L3" s="10">
        <v>29</v>
      </c>
      <c r="M3" s="10">
        <v>0</v>
      </c>
      <c r="N3" s="6" t="s">
        <v>1537</v>
      </c>
      <c r="O3" s="6" t="s">
        <v>1028</v>
      </c>
      <c r="P3" s="27" t="s">
        <v>42</v>
      </c>
      <c r="Q3" s="7">
        <v>45442</v>
      </c>
      <c r="R3" s="7"/>
      <c r="S3" s="6" t="s">
        <v>45</v>
      </c>
      <c r="T3" s="7"/>
      <c r="U3" s="34"/>
    </row>
    <row r="4" spans="1:21" x14ac:dyDescent="0.35">
      <c r="A4" s="5" t="s">
        <v>1297</v>
      </c>
      <c r="B4" s="6" t="s">
        <v>1532</v>
      </c>
      <c r="C4" s="6" t="s">
        <v>1533</v>
      </c>
      <c r="D4" s="6" t="str">
        <f>VLOOKUP(B:B,'[2]Hakata Island Team'!$E:$G,3,)</f>
        <v>Praveen Kumar</v>
      </c>
      <c r="E4" s="6" t="str">
        <f>VLOOKUP(B:B,'[2]Hakata Island Team'!$E:$H,4,)</f>
        <v>SPPL Fleet - G</v>
      </c>
      <c r="F4" s="6" t="s">
        <v>1538</v>
      </c>
      <c r="G4" s="6" t="s">
        <v>1535</v>
      </c>
      <c r="H4" s="7">
        <v>46023</v>
      </c>
      <c r="I4" s="6" t="s">
        <v>1298</v>
      </c>
      <c r="J4" s="6" t="s">
        <v>1536</v>
      </c>
      <c r="K4" s="6" t="s">
        <v>45</v>
      </c>
      <c r="L4" s="10">
        <v>29</v>
      </c>
      <c r="M4" s="10">
        <v>0</v>
      </c>
      <c r="N4" s="6" t="s">
        <v>1537</v>
      </c>
      <c r="O4" s="6" t="s">
        <v>1028</v>
      </c>
      <c r="P4" s="27" t="s">
        <v>42</v>
      </c>
      <c r="Q4" s="7">
        <v>45442</v>
      </c>
      <c r="R4" s="7"/>
      <c r="S4" s="6" t="s">
        <v>45</v>
      </c>
      <c r="T4" s="7"/>
      <c r="U4" s="34"/>
    </row>
    <row r="5" spans="1:21" x14ac:dyDescent="0.35">
      <c r="A5" s="5" t="s">
        <v>1297</v>
      </c>
      <c r="B5" s="6" t="s">
        <v>1532</v>
      </c>
      <c r="C5" s="6" t="s">
        <v>1533</v>
      </c>
      <c r="D5" s="6" t="str">
        <f>VLOOKUP(B:B,'[2]Hakata Island Team'!$E:$G,3,)</f>
        <v>Praveen Kumar</v>
      </c>
      <c r="E5" s="6" t="str">
        <f>VLOOKUP(B:B,'[2]Hakata Island Team'!$E:$H,4,)</f>
        <v>SPPL Fleet - G</v>
      </c>
      <c r="F5" s="6" t="s">
        <v>1539</v>
      </c>
      <c r="G5" s="6" t="s">
        <v>1433</v>
      </c>
      <c r="H5" s="7"/>
      <c r="I5" s="6" t="s">
        <v>1298</v>
      </c>
      <c r="J5" s="6" t="s">
        <v>1536</v>
      </c>
      <c r="K5" s="6" t="s">
        <v>45</v>
      </c>
      <c r="L5" s="10">
        <v>30</v>
      </c>
      <c r="M5" s="10">
        <v>9</v>
      </c>
      <c r="N5" s="6" t="s">
        <v>1537</v>
      </c>
      <c r="O5" s="6" t="s">
        <v>1028</v>
      </c>
      <c r="P5" s="27" t="s">
        <v>42</v>
      </c>
      <c r="Q5" s="7">
        <v>45442</v>
      </c>
      <c r="R5" s="7"/>
      <c r="S5" s="6" t="s">
        <v>45</v>
      </c>
      <c r="T5" s="7"/>
      <c r="U5" s="34"/>
    </row>
    <row r="6" spans="1:21" x14ac:dyDescent="0.35">
      <c r="A6" s="5" t="s">
        <v>1297</v>
      </c>
      <c r="B6" s="6" t="s">
        <v>1532</v>
      </c>
      <c r="C6" s="6" t="s">
        <v>1533</v>
      </c>
      <c r="D6" s="6" t="str">
        <f>VLOOKUP(B:B,'[2]Hakata Island Team'!$E:$G,3,)</f>
        <v>Praveen Kumar</v>
      </c>
      <c r="E6" s="6" t="str">
        <f>VLOOKUP(B:B,'[2]Hakata Island Team'!$E:$H,4,)</f>
        <v>SPPL Fleet - G</v>
      </c>
      <c r="F6" s="6" t="s">
        <v>1540</v>
      </c>
      <c r="G6" s="6" t="s">
        <v>1541</v>
      </c>
      <c r="H6" s="7">
        <v>46023</v>
      </c>
      <c r="I6" s="6" t="s">
        <v>1298</v>
      </c>
      <c r="J6" s="6" t="s">
        <v>1536</v>
      </c>
      <c r="K6" s="6" t="s">
        <v>45</v>
      </c>
      <c r="L6" s="10">
        <v>60</v>
      </c>
      <c r="M6" s="10">
        <v>0</v>
      </c>
      <c r="N6" s="6" t="s">
        <v>1537</v>
      </c>
      <c r="O6" s="6" t="s">
        <v>1028</v>
      </c>
      <c r="P6" s="27" t="s">
        <v>42</v>
      </c>
      <c r="Q6" s="7">
        <v>45442</v>
      </c>
      <c r="R6" s="7"/>
      <c r="S6" s="6" t="s">
        <v>45</v>
      </c>
      <c r="T6" s="7"/>
      <c r="U6" s="34"/>
    </row>
    <row r="7" spans="1:21" x14ac:dyDescent="0.35">
      <c r="A7" s="5" t="s">
        <v>1297</v>
      </c>
      <c r="B7" s="6" t="s">
        <v>1532</v>
      </c>
      <c r="C7" s="6" t="s">
        <v>1533</v>
      </c>
      <c r="D7" s="6" t="str">
        <f>VLOOKUP(B:B,'[2]Hakata Island Team'!$E:$G,3,)</f>
        <v>Praveen Kumar</v>
      </c>
      <c r="E7" s="6" t="str">
        <f>VLOOKUP(B:B,'[2]Hakata Island Team'!$E:$H,4,)</f>
        <v>SPPL Fleet - G</v>
      </c>
      <c r="F7" s="6" t="s">
        <v>1542</v>
      </c>
      <c r="G7" s="6" t="s">
        <v>1035</v>
      </c>
      <c r="H7" s="7">
        <v>44927</v>
      </c>
      <c r="I7" s="6" t="s">
        <v>1298</v>
      </c>
      <c r="J7" s="6" t="s">
        <v>1536</v>
      </c>
      <c r="K7" s="6" t="s">
        <v>1543</v>
      </c>
      <c r="L7" s="10">
        <v>12</v>
      </c>
      <c r="M7" s="10">
        <v>3</v>
      </c>
      <c r="N7" s="6" t="s">
        <v>1544</v>
      </c>
      <c r="O7" s="6" t="s">
        <v>1028</v>
      </c>
      <c r="P7" s="27" t="s">
        <v>42</v>
      </c>
      <c r="Q7" s="7">
        <v>45442</v>
      </c>
      <c r="R7" s="7"/>
      <c r="S7" s="6" t="s">
        <v>1545</v>
      </c>
      <c r="T7" s="7">
        <v>45908</v>
      </c>
      <c r="U7" s="34">
        <v>44876</v>
      </c>
    </row>
    <row r="8" spans="1:21" x14ac:dyDescent="0.35">
      <c r="A8" s="5" t="s">
        <v>1335</v>
      </c>
      <c r="B8" s="6" t="s">
        <v>1532</v>
      </c>
      <c r="C8" s="6" t="s">
        <v>1533</v>
      </c>
      <c r="D8" s="6" t="str">
        <f>VLOOKUP(B:B,'[2]Hakata Island Team'!$E:$G,3,)</f>
        <v>Praveen Kumar</v>
      </c>
      <c r="E8" s="6" t="str">
        <f>VLOOKUP(B:B,'[2]Hakata Island Team'!$E:$H,4,)</f>
        <v>SPPL Fleet - G</v>
      </c>
      <c r="F8" s="6" t="s">
        <v>1542</v>
      </c>
      <c r="G8" s="6" t="s">
        <v>1035</v>
      </c>
      <c r="H8" s="7">
        <v>46023</v>
      </c>
      <c r="I8" s="6" t="s">
        <v>1336</v>
      </c>
      <c r="J8" s="6" t="s">
        <v>45</v>
      </c>
      <c r="K8" s="6" t="s">
        <v>1546</v>
      </c>
      <c r="L8" s="10">
        <v>12</v>
      </c>
      <c r="M8" s="10">
        <v>3</v>
      </c>
      <c r="N8" s="6" t="s">
        <v>1547</v>
      </c>
      <c r="O8" s="6" t="s">
        <v>1036</v>
      </c>
      <c r="P8" s="27" t="s">
        <v>42</v>
      </c>
      <c r="Q8" s="7">
        <v>44513</v>
      </c>
      <c r="R8" s="7"/>
      <c r="S8" s="6" t="s">
        <v>1545</v>
      </c>
      <c r="T8" s="7"/>
      <c r="U8" s="34">
        <v>45908</v>
      </c>
    </row>
    <row r="9" spans="1:21" x14ac:dyDescent="0.35">
      <c r="A9" s="5" t="s">
        <v>1548</v>
      </c>
      <c r="B9" s="6" t="s">
        <v>1532</v>
      </c>
      <c r="C9" s="6" t="s">
        <v>1533</v>
      </c>
      <c r="D9" s="6" t="str">
        <f>VLOOKUP(B:B,'[2]Hakata Island Team'!$E:$G,3,)</f>
        <v>Praveen Kumar</v>
      </c>
      <c r="E9" s="6" t="str">
        <f>VLOOKUP(B:B,'[2]Hakata Island Team'!$E:$H,4,)</f>
        <v>SPPL Fleet - G</v>
      </c>
      <c r="F9" s="6" t="s">
        <v>1542</v>
      </c>
      <c r="G9" s="6" t="s">
        <v>1035</v>
      </c>
      <c r="H9" s="7">
        <v>46023</v>
      </c>
      <c r="I9" s="6" t="s">
        <v>1549</v>
      </c>
      <c r="J9" s="6" t="s">
        <v>45</v>
      </c>
      <c r="K9" s="6" t="s">
        <v>45</v>
      </c>
      <c r="L9" s="10">
        <v>12</v>
      </c>
      <c r="M9" s="10">
        <v>3</v>
      </c>
      <c r="N9" s="6" t="s">
        <v>1547</v>
      </c>
      <c r="O9" s="6" t="s">
        <v>1036</v>
      </c>
      <c r="P9" s="27" t="s">
        <v>42</v>
      </c>
      <c r="Q9" s="7">
        <v>44513</v>
      </c>
      <c r="R9" s="7"/>
      <c r="S9" s="6" t="s">
        <v>45</v>
      </c>
      <c r="T9" s="7"/>
      <c r="U9" s="34">
        <v>45658</v>
      </c>
    </row>
    <row r="10" spans="1:21" x14ac:dyDescent="0.35">
      <c r="A10" s="5" t="s">
        <v>1550</v>
      </c>
      <c r="B10" s="6" t="s">
        <v>1532</v>
      </c>
      <c r="C10" s="6" t="s">
        <v>1533</v>
      </c>
      <c r="D10" s="6" t="str">
        <f>VLOOKUP(B:B,'[2]Hakata Island Team'!$E:$G,3,)</f>
        <v>Praveen Kumar</v>
      </c>
      <c r="E10" s="6" t="str">
        <f>VLOOKUP(B:B,'[2]Hakata Island Team'!$E:$H,4,)</f>
        <v>SPPL Fleet - G</v>
      </c>
      <c r="F10" s="6" t="s">
        <v>1551</v>
      </c>
      <c r="G10" s="6" t="s">
        <v>1035</v>
      </c>
      <c r="H10" s="7">
        <v>44878</v>
      </c>
      <c r="I10" s="6" t="s">
        <v>1552</v>
      </c>
      <c r="J10" s="6" t="s">
        <v>1553</v>
      </c>
      <c r="K10" s="6" t="s">
        <v>1554</v>
      </c>
      <c r="L10" s="10">
        <v>12</v>
      </c>
      <c r="M10" s="10">
        <v>0</v>
      </c>
      <c r="N10" s="6" t="s">
        <v>1537</v>
      </c>
      <c r="O10" s="6" t="s">
        <v>1050</v>
      </c>
      <c r="P10" s="27" t="s">
        <v>42</v>
      </c>
      <c r="Q10" s="7">
        <v>44513</v>
      </c>
      <c r="R10" s="7"/>
      <c r="S10" s="6" t="s">
        <v>45</v>
      </c>
      <c r="T10" s="7">
        <v>44876</v>
      </c>
      <c r="U10" s="34"/>
    </row>
    <row r="11" spans="1:21" x14ac:dyDescent="0.35">
      <c r="A11" s="5" t="s">
        <v>1286</v>
      </c>
      <c r="B11" s="6" t="s">
        <v>570</v>
      </c>
      <c r="C11" s="6" t="s">
        <v>1246</v>
      </c>
      <c r="D11" s="6" t="str">
        <f>VLOOKUP(B:B,'[2]Hakata Island Team'!$E:$G,3,)</f>
        <v>Vidyadhar Vaidya</v>
      </c>
      <c r="E11" s="6" t="str">
        <f>VLOOKUP(B:B,'[2]Hakata Island Team'!$E:$H,4,)</f>
        <v>SPPL Fleet - E</v>
      </c>
      <c r="F11" s="6" t="s">
        <v>1542</v>
      </c>
      <c r="G11" s="6" t="s">
        <v>1035</v>
      </c>
      <c r="H11" s="7">
        <v>45033</v>
      </c>
      <c r="I11" s="6" t="s">
        <v>1288</v>
      </c>
      <c r="J11" s="6" t="s">
        <v>1553</v>
      </c>
      <c r="K11" s="6" t="s">
        <v>1554</v>
      </c>
      <c r="L11" s="10">
        <v>12</v>
      </c>
      <c r="M11" s="10">
        <v>3</v>
      </c>
      <c r="N11" s="6" t="s">
        <v>1555</v>
      </c>
      <c r="O11" s="6" t="s">
        <v>1028</v>
      </c>
      <c r="P11" s="27" t="s">
        <v>42</v>
      </c>
      <c r="Q11" s="7">
        <v>44633</v>
      </c>
      <c r="R11" s="7"/>
      <c r="S11" s="6" t="s">
        <v>1556</v>
      </c>
      <c r="T11" s="7">
        <v>46175</v>
      </c>
      <c r="U11" s="34">
        <v>45352</v>
      </c>
    </row>
    <row r="12" spans="1:21" x14ac:dyDescent="0.35">
      <c r="A12" s="5" t="s">
        <v>1324</v>
      </c>
      <c r="B12" s="6" t="s">
        <v>570</v>
      </c>
      <c r="C12" s="6" t="s">
        <v>1246</v>
      </c>
      <c r="D12" s="6" t="str">
        <f>VLOOKUP(B:B,'[2]Hakata Island Team'!$E:$G,3,)</f>
        <v>Vidyadhar Vaidya</v>
      </c>
      <c r="E12" s="6" t="str">
        <f>VLOOKUP(B:B,'[2]Hakata Island Team'!$E:$H,4,)</f>
        <v>SPPL Fleet - E</v>
      </c>
      <c r="F12" s="6" t="s">
        <v>1542</v>
      </c>
      <c r="G12" s="6" t="s">
        <v>1035</v>
      </c>
      <c r="H12" s="7">
        <v>45658</v>
      </c>
      <c r="I12" s="6" t="s">
        <v>1325</v>
      </c>
      <c r="J12" s="6" t="s">
        <v>45</v>
      </c>
      <c r="K12" s="6" t="s">
        <v>45</v>
      </c>
      <c r="L12" s="10">
        <v>12</v>
      </c>
      <c r="M12" s="10">
        <v>3</v>
      </c>
      <c r="N12" s="6" t="s">
        <v>1557</v>
      </c>
      <c r="O12" s="6" t="s">
        <v>1036</v>
      </c>
      <c r="P12" s="27" t="s">
        <v>42</v>
      </c>
      <c r="Q12" s="7">
        <v>44704</v>
      </c>
      <c r="R12" s="7"/>
      <c r="S12" s="6" t="s">
        <v>45</v>
      </c>
      <c r="T12" s="7"/>
      <c r="U12" s="34">
        <v>45352</v>
      </c>
    </row>
    <row r="13" spans="1:21" x14ac:dyDescent="0.35">
      <c r="A13" s="5" t="s">
        <v>1328</v>
      </c>
      <c r="B13" s="6" t="s">
        <v>570</v>
      </c>
      <c r="C13" s="6" t="s">
        <v>1246</v>
      </c>
      <c r="D13" s="6" t="str">
        <f>VLOOKUP(B:B,'[2]Hakata Island Team'!$E:$G,3,)</f>
        <v>Vidyadhar Vaidya</v>
      </c>
      <c r="E13" s="6" t="str">
        <f>VLOOKUP(B:B,'[2]Hakata Island Team'!$E:$H,4,)</f>
        <v>SPPL Fleet - E</v>
      </c>
      <c r="F13" s="6" t="s">
        <v>1542</v>
      </c>
      <c r="G13" s="6" t="s">
        <v>1035</v>
      </c>
      <c r="H13" s="7">
        <v>45658</v>
      </c>
      <c r="I13" s="6" t="s">
        <v>1329</v>
      </c>
      <c r="J13" s="6" t="s">
        <v>45</v>
      </c>
      <c r="K13" s="6" t="s">
        <v>45</v>
      </c>
      <c r="L13" s="10">
        <v>12</v>
      </c>
      <c r="M13" s="10">
        <v>3</v>
      </c>
      <c r="N13" s="6" t="s">
        <v>1557</v>
      </c>
      <c r="O13" s="6" t="s">
        <v>1036</v>
      </c>
      <c r="P13" s="27" t="s">
        <v>42</v>
      </c>
      <c r="Q13" s="7">
        <v>44668</v>
      </c>
      <c r="R13" s="7"/>
      <c r="S13" s="6" t="s">
        <v>45</v>
      </c>
      <c r="T13" s="7"/>
      <c r="U13" s="34">
        <v>45352</v>
      </c>
    </row>
    <row r="14" spans="1:21" x14ac:dyDescent="0.35">
      <c r="A14" s="5" t="s">
        <v>1321</v>
      </c>
      <c r="B14" s="6" t="s">
        <v>570</v>
      </c>
      <c r="C14" s="6" t="s">
        <v>1246</v>
      </c>
      <c r="D14" s="6" t="str">
        <f>VLOOKUP(B:B,'[2]Hakata Island Team'!$E:$G,3,)</f>
        <v>Vidyadhar Vaidya</v>
      </c>
      <c r="E14" s="6" t="str">
        <f>VLOOKUP(B:B,'[2]Hakata Island Team'!$E:$H,4,)</f>
        <v>SPPL Fleet - E</v>
      </c>
      <c r="F14" s="6" t="s">
        <v>1542</v>
      </c>
      <c r="G14" s="6" t="s">
        <v>1035</v>
      </c>
      <c r="H14" s="7">
        <v>45658</v>
      </c>
      <c r="I14" s="6" t="s">
        <v>1322</v>
      </c>
      <c r="J14" s="6" t="s">
        <v>45</v>
      </c>
      <c r="K14" s="6" t="s">
        <v>45</v>
      </c>
      <c r="L14" s="10">
        <v>12</v>
      </c>
      <c r="M14" s="10">
        <v>3</v>
      </c>
      <c r="N14" s="6" t="s">
        <v>1557</v>
      </c>
      <c r="O14" s="6" t="s">
        <v>1036</v>
      </c>
      <c r="P14" s="27" t="s">
        <v>42</v>
      </c>
      <c r="Q14" s="7">
        <v>44668</v>
      </c>
      <c r="R14" s="7"/>
      <c r="S14" s="6" t="s">
        <v>45</v>
      </c>
      <c r="T14" s="7"/>
      <c r="U14" s="34">
        <v>45352</v>
      </c>
    </row>
    <row r="15" spans="1:21" x14ac:dyDescent="0.35">
      <c r="A15" s="5" t="s">
        <v>1335</v>
      </c>
      <c r="B15" s="6" t="s">
        <v>570</v>
      </c>
      <c r="C15" s="6" t="s">
        <v>1246</v>
      </c>
      <c r="D15" s="6" t="str">
        <f>VLOOKUP(B:B,'[2]Hakata Island Team'!$E:$G,3,)</f>
        <v>Vidyadhar Vaidya</v>
      </c>
      <c r="E15" s="6" t="str">
        <f>VLOOKUP(B:B,'[2]Hakata Island Team'!$E:$H,4,)</f>
        <v>SPPL Fleet - E</v>
      </c>
      <c r="F15" s="6" t="s">
        <v>1542</v>
      </c>
      <c r="G15" s="6" t="s">
        <v>1035</v>
      </c>
      <c r="H15" s="7">
        <v>45658</v>
      </c>
      <c r="I15" s="6" t="s">
        <v>1336</v>
      </c>
      <c r="J15" s="6" t="s">
        <v>1558</v>
      </c>
      <c r="K15" s="6" t="s">
        <v>45</v>
      </c>
      <c r="L15" s="10">
        <v>12</v>
      </c>
      <c r="M15" s="10">
        <v>3</v>
      </c>
      <c r="N15" s="6" t="s">
        <v>1557</v>
      </c>
      <c r="O15" s="6" t="s">
        <v>1036</v>
      </c>
      <c r="P15" s="27" t="s">
        <v>42</v>
      </c>
      <c r="Q15" s="7">
        <v>44668</v>
      </c>
      <c r="R15" s="7"/>
      <c r="S15" s="6" t="s">
        <v>45</v>
      </c>
      <c r="T15" s="7"/>
      <c r="U15" s="34">
        <v>45352</v>
      </c>
    </row>
    <row r="16" spans="1:21" x14ac:dyDescent="0.35">
      <c r="A16" s="5" t="s">
        <v>1286</v>
      </c>
      <c r="B16" s="6" t="s">
        <v>372</v>
      </c>
      <c r="C16" s="6" t="s">
        <v>1559</v>
      </c>
      <c r="D16" s="6" t="str">
        <f>VLOOKUP(B:B,'[2]Hakata Island Team'!$E:$G,3,)</f>
        <v>Praveen Kumar</v>
      </c>
      <c r="E16" s="6" t="str">
        <f>VLOOKUP(B:B,'[2]Hakata Island Team'!$E:$H,4,)</f>
        <v>SPPL Fleet - G</v>
      </c>
      <c r="F16" s="6" t="s">
        <v>1542</v>
      </c>
      <c r="G16" s="6" t="s">
        <v>1035</v>
      </c>
      <c r="H16" s="7">
        <v>45076</v>
      </c>
      <c r="I16" s="6" t="s">
        <v>1288</v>
      </c>
      <c r="J16" s="6" t="s">
        <v>45</v>
      </c>
      <c r="K16" s="6" t="s">
        <v>45</v>
      </c>
      <c r="L16" s="10">
        <v>12</v>
      </c>
      <c r="M16" s="10">
        <v>3</v>
      </c>
      <c r="N16" s="6" t="s">
        <v>1560</v>
      </c>
      <c r="O16" s="6" t="s">
        <v>1036</v>
      </c>
      <c r="P16" s="27" t="s">
        <v>42</v>
      </c>
      <c r="Q16" s="7">
        <v>44711</v>
      </c>
      <c r="R16" s="7"/>
      <c r="S16" s="6" t="s">
        <v>45</v>
      </c>
      <c r="T16" s="7"/>
      <c r="U16" s="34">
        <v>45665</v>
      </c>
    </row>
    <row r="17" spans="1:21" x14ac:dyDescent="0.35">
      <c r="A17" s="5" t="s">
        <v>1360</v>
      </c>
      <c r="B17" s="6" t="s">
        <v>372</v>
      </c>
      <c r="C17" s="6" t="s">
        <v>1559</v>
      </c>
      <c r="D17" s="6" t="str">
        <f>VLOOKUP(B:B,'[2]Hakata Island Team'!$E:$G,3,)</f>
        <v>Praveen Kumar</v>
      </c>
      <c r="E17" s="6" t="str">
        <f>VLOOKUP(B:B,'[2]Hakata Island Team'!$E:$H,4,)</f>
        <v>SPPL Fleet - G</v>
      </c>
      <c r="F17" s="6" t="s">
        <v>1542</v>
      </c>
      <c r="G17" s="6" t="s">
        <v>1035</v>
      </c>
      <c r="H17" s="7">
        <v>46030</v>
      </c>
      <c r="I17" s="6" t="s">
        <v>1361</v>
      </c>
      <c r="J17" s="6" t="s">
        <v>45</v>
      </c>
      <c r="K17" s="6" t="s">
        <v>45</v>
      </c>
      <c r="L17" s="10">
        <v>12</v>
      </c>
      <c r="M17" s="10">
        <v>3</v>
      </c>
      <c r="N17" s="6" t="s">
        <v>1561</v>
      </c>
      <c r="O17" s="6" t="s">
        <v>1036</v>
      </c>
      <c r="P17" s="27" t="s">
        <v>42</v>
      </c>
      <c r="Q17" s="7">
        <v>44711</v>
      </c>
      <c r="R17" s="7"/>
      <c r="S17" s="6" t="s">
        <v>45</v>
      </c>
      <c r="T17" s="7"/>
      <c r="U17" s="34">
        <v>45665</v>
      </c>
    </row>
    <row r="18" spans="1:21" x14ac:dyDescent="0.35">
      <c r="A18" s="5" t="s">
        <v>1328</v>
      </c>
      <c r="B18" s="6" t="s">
        <v>372</v>
      </c>
      <c r="C18" s="6" t="s">
        <v>1559</v>
      </c>
      <c r="D18" s="6" t="str">
        <f>VLOOKUP(B:B,'[2]Hakata Island Team'!$E:$G,3,)</f>
        <v>Praveen Kumar</v>
      </c>
      <c r="E18" s="6" t="str">
        <f>VLOOKUP(B:B,'[2]Hakata Island Team'!$E:$H,4,)</f>
        <v>SPPL Fleet - G</v>
      </c>
      <c r="F18" s="6" t="s">
        <v>1542</v>
      </c>
      <c r="G18" s="6" t="s">
        <v>1035</v>
      </c>
      <c r="H18" s="7">
        <v>46023</v>
      </c>
      <c r="I18" s="6" t="s">
        <v>1329</v>
      </c>
      <c r="J18" s="6" t="s">
        <v>45</v>
      </c>
      <c r="K18" s="6" t="s">
        <v>45</v>
      </c>
      <c r="L18" s="10">
        <v>12</v>
      </c>
      <c r="M18" s="10">
        <v>3</v>
      </c>
      <c r="N18" s="6" t="s">
        <v>1547</v>
      </c>
      <c r="O18" s="6" t="s">
        <v>1036</v>
      </c>
      <c r="P18" s="27" t="s">
        <v>42</v>
      </c>
      <c r="Q18" s="7">
        <v>46080</v>
      </c>
      <c r="R18" s="7"/>
      <c r="S18" s="6" t="s">
        <v>45</v>
      </c>
      <c r="T18" s="7"/>
      <c r="U18" s="34">
        <v>45665</v>
      </c>
    </row>
    <row r="19" spans="1:21" x14ac:dyDescent="0.35">
      <c r="A19" s="5" t="s">
        <v>1321</v>
      </c>
      <c r="B19" s="6" t="s">
        <v>372</v>
      </c>
      <c r="C19" s="6" t="s">
        <v>1559</v>
      </c>
      <c r="D19" s="6" t="str">
        <f>VLOOKUP(B:B,'[2]Hakata Island Team'!$E:$G,3,)</f>
        <v>Praveen Kumar</v>
      </c>
      <c r="E19" s="6" t="str">
        <f>VLOOKUP(B:B,'[2]Hakata Island Team'!$E:$H,4,)</f>
        <v>SPPL Fleet - G</v>
      </c>
      <c r="F19" s="6" t="s">
        <v>1542</v>
      </c>
      <c r="G19" s="6" t="s">
        <v>1035</v>
      </c>
      <c r="H19" s="7">
        <v>46023</v>
      </c>
      <c r="I19" s="6" t="s">
        <v>1322</v>
      </c>
      <c r="J19" s="6" t="s">
        <v>45</v>
      </c>
      <c r="K19" s="6" t="s">
        <v>45</v>
      </c>
      <c r="L19" s="10">
        <v>12</v>
      </c>
      <c r="M19" s="10">
        <v>3</v>
      </c>
      <c r="N19" s="6" t="s">
        <v>1547</v>
      </c>
      <c r="O19" s="6" t="s">
        <v>1036</v>
      </c>
      <c r="P19" s="27" t="s">
        <v>42</v>
      </c>
      <c r="Q19" s="7">
        <v>46080</v>
      </c>
      <c r="R19" s="7"/>
      <c r="S19" s="6" t="s">
        <v>45</v>
      </c>
      <c r="T19" s="7"/>
      <c r="U19" s="34">
        <v>45665</v>
      </c>
    </row>
    <row r="20" spans="1:21" x14ac:dyDescent="0.35">
      <c r="A20" s="5" t="s">
        <v>1335</v>
      </c>
      <c r="B20" s="6" t="s">
        <v>372</v>
      </c>
      <c r="C20" s="6" t="s">
        <v>1559</v>
      </c>
      <c r="D20" s="6" t="str">
        <f>VLOOKUP(B:B,'[2]Hakata Island Team'!$E:$G,3,)</f>
        <v>Praveen Kumar</v>
      </c>
      <c r="E20" s="6" t="str">
        <f>VLOOKUP(B:B,'[2]Hakata Island Team'!$E:$H,4,)</f>
        <v>SPPL Fleet - G</v>
      </c>
      <c r="F20" s="6" t="s">
        <v>1542</v>
      </c>
      <c r="G20" s="6" t="s">
        <v>1035</v>
      </c>
      <c r="H20" s="7">
        <v>46023</v>
      </c>
      <c r="I20" s="6" t="s">
        <v>1336</v>
      </c>
      <c r="J20" s="6" t="s">
        <v>45</v>
      </c>
      <c r="K20" s="6" t="s">
        <v>45</v>
      </c>
      <c r="L20" s="10">
        <v>12</v>
      </c>
      <c r="M20" s="10">
        <v>3</v>
      </c>
      <c r="N20" s="6" t="s">
        <v>1547</v>
      </c>
      <c r="O20" s="6" t="s">
        <v>1036</v>
      </c>
      <c r="P20" s="27" t="s">
        <v>42</v>
      </c>
      <c r="Q20" s="7">
        <v>46080</v>
      </c>
      <c r="R20" s="7"/>
      <c r="S20" s="6" t="s">
        <v>45</v>
      </c>
      <c r="T20" s="7"/>
      <c r="U20" s="34">
        <v>45665</v>
      </c>
    </row>
    <row r="21" spans="1:21" x14ac:dyDescent="0.35">
      <c r="A21" s="5" t="s">
        <v>1548</v>
      </c>
      <c r="B21" s="6" t="s">
        <v>372</v>
      </c>
      <c r="C21" s="6" t="s">
        <v>1559</v>
      </c>
      <c r="D21" s="6" t="str">
        <f>VLOOKUP(B:B,'[2]Hakata Island Team'!$E:$G,3,)</f>
        <v>Praveen Kumar</v>
      </c>
      <c r="E21" s="6" t="str">
        <f>VLOOKUP(B:B,'[2]Hakata Island Team'!$E:$H,4,)</f>
        <v>SPPL Fleet - G</v>
      </c>
      <c r="F21" s="6" t="s">
        <v>1542</v>
      </c>
      <c r="G21" s="6" t="s">
        <v>1035</v>
      </c>
      <c r="H21" s="7">
        <v>46023</v>
      </c>
      <c r="I21" s="6" t="s">
        <v>1549</v>
      </c>
      <c r="J21" s="6" t="s">
        <v>45</v>
      </c>
      <c r="K21" s="6" t="s">
        <v>45</v>
      </c>
      <c r="L21" s="10">
        <v>12</v>
      </c>
      <c r="M21" s="10">
        <v>3</v>
      </c>
      <c r="N21" s="6" t="s">
        <v>1547</v>
      </c>
      <c r="O21" s="6" t="s">
        <v>1036</v>
      </c>
      <c r="P21" s="27" t="s">
        <v>42</v>
      </c>
      <c r="Q21" s="7">
        <v>46080</v>
      </c>
      <c r="R21" s="7"/>
      <c r="S21" s="6" t="s">
        <v>45</v>
      </c>
      <c r="T21" s="7"/>
      <c r="U21" s="34">
        <v>45665</v>
      </c>
    </row>
    <row r="22" spans="1:21" x14ac:dyDescent="0.35">
      <c r="A22" s="5" t="s">
        <v>1309</v>
      </c>
      <c r="B22" s="6" t="s">
        <v>570</v>
      </c>
      <c r="C22" s="6" t="s">
        <v>1246</v>
      </c>
      <c r="D22" s="6" t="str">
        <f>VLOOKUP(B:B,'[2]Hakata Island Team'!$E:$G,3,)</f>
        <v>Vidyadhar Vaidya</v>
      </c>
      <c r="E22" s="6" t="str">
        <f>VLOOKUP(B:B,'[2]Hakata Island Team'!$E:$H,4,)</f>
        <v>SPPL Fleet - E</v>
      </c>
      <c r="F22" s="6" t="s">
        <v>1035</v>
      </c>
      <c r="G22" s="6" t="s">
        <v>45</v>
      </c>
      <c r="H22" s="7">
        <v>45051</v>
      </c>
      <c r="I22" s="6" t="s">
        <v>1310</v>
      </c>
      <c r="J22" s="6" t="s">
        <v>45</v>
      </c>
      <c r="K22" s="6" t="s">
        <v>45</v>
      </c>
      <c r="L22" s="10">
        <v>0</v>
      </c>
      <c r="M22" s="10">
        <v>0</v>
      </c>
      <c r="N22" s="6" t="s">
        <v>1537</v>
      </c>
      <c r="O22" s="6" t="s">
        <v>1036</v>
      </c>
      <c r="P22" s="27" t="s">
        <v>42</v>
      </c>
      <c r="Q22" s="7">
        <v>44668</v>
      </c>
      <c r="R22" s="7"/>
      <c r="S22" s="6" t="s">
        <v>45</v>
      </c>
      <c r="T22" s="7"/>
      <c r="U22" s="34">
        <v>44686</v>
      </c>
    </row>
    <row r="23" spans="1:21" x14ac:dyDescent="0.35">
      <c r="A23" s="5" t="s">
        <v>1306</v>
      </c>
      <c r="B23" s="6" t="s">
        <v>372</v>
      </c>
      <c r="C23" s="6" t="s">
        <v>1559</v>
      </c>
      <c r="D23" s="6" t="str">
        <f>VLOOKUP(B:B,'[2]Hakata Island Team'!$E:$G,3,)</f>
        <v>Praveen Kumar</v>
      </c>
      <c r="E23" s="6" t="str">
        <f>VLOOKUP(B:B,'[2]Hakata Island Team'!$E:$H,4,)</f>
        <v>SPPL Fleet - G</v>
      </c>
      <c r="F23" s="6" t="s">
        <v>45</v>
      </c>
      <c r="G23" s="6" t="s">
        <v>45</v>
      </c>
      <c r="H23" s="7">
        <v>45595</v>
      </c>
      <c r="I23" s="6" t="s">
        <v>1307</v>
      </c>
      <c r="J23" s="6" t="s">
        <v>45</v>
      </c>
      <c r="K23" s="6" t="s">
        <v>45</v>
      </c>
      <c r="L23" s="10">
        <v>0</v>
      </c>
      <c r="M23" s="10">
        <v>0</v>
      </c>
      <c r="N23" s="6" t="s">
        <v>1537</v>
      </c>
      <c r="O23" s="6" t="s">
        <v>1036</v>
      </c>
      <c r="P23" s="27" t="s">
        <v>42</v>
      </c>
      <c r="Q23" s="7">
        <v>45881</v>
      </c>
      <c r="R23" s="7"/>
      <c r="S23" s="6" t="s">
        <v>45</v>
      </c>
      <c r="T23" s="7"/>
      <c r="U23" s="34">
        <v>44711</v>
      </c>
    </row>
    <row r="24" spans="1:21" x14ac:dyDescent="0.35">
      <c r="A24" s="5" t="s">
        <v>1309</v>
      </c>
      <c r="B24" s="6" t="s">
        <v>372</v>
      </c>
      <c r="C24" s="6" t="s">
        <v>1559</v>
      </c>
      <c r="D24" s="6" t="str">
        <f>VLOOKUP(B:B,'[2]Hakata Island Team'!$E:$G,3,)</f>
        <v>Praveen Kumar</v>
      </c>
      <c r="E24" s="6" t="str">
        <f>VLOOKUP(B:B,'[2]Hakata Island Team'!$E:$H,4,)</f>
        <v>SPPL Fleet - G</v>
      </c>
      <c r="F24" s="6" t="s">
        <v>1542</v>
      </c>
      <c r="G24" s="6" t="s">
        <v>1035</v>
      </c>
      <c r="H24" s="7">
        <v>45658</v>
      </c>
      <c r="I24" s="6" t="s">
        <v>1310</v>
      </c>
      <c r="J24" s="6" t="s">
        <v>45</v>
      </c>
      <c r="K24" s="6" t="s">
        <v>45</v>
      </c>
      <c r="L24" s="10">
        <v>12</v>
      </c>
      <c r="M24" s="10">
        <v>3</v>
      </c>
      <c r="N24" s="6" t="s">
        <v>1557</v>
      </c>
      <c r="O24" s="6" t="s">
        <v>1036</v>
      </c>
      <c r="P24" s="27" t="s">
        <v>42</v>
      </c>
      <c r="Q24" s="7">
        <v>46080</v>
      </c>
      <c r="R24" s="7"/>
      <c r="S24" s="6" t="s">
        <v>45</v>
      </c>
      <c r="T24" s="7"/>
      <c r="U24" s="34">
        <v>45432</v>
      </c>
    </row>
    <row r="25" spans="1:21" x14ac:dyDescent="0.35">
      <c r="A25" s="5" t="s">
        <v>1297</v>
      </c>
      <c r="B25" s="6" t="s">
        <v>796</v>
      </c>
      <c r="C25" s="6" t="s">
        <v>797</v>
      </c>
      <c r="D25" s="6" t="str">
        <f>VLOOKUP(B:B,'[2]Hakata Island Team'!$E:$G,3,)</f>
        <v>Senthilvelan</v>
      </c>
      <c r="E25" s="6" t="str">
        <f>VLOOKUP(B:B,'[2]Hakata Island Team'!$E:$H,4,)</f>
        <v xml:space="preserve">SPPL Fleet - A </v>
      </c>
      <c r="F25" s="6" t="s">
        <v>1542</v>
      </c>
      <c r="G25" s="6" t="s">
        <v>1035</v>
      </c>
      <c r="H25" s="7">
        <v>45220</v>
      </c>
      <c r="I25" s="6" t="s">
        <v>1298</v>
      </c>
      <c r="J25" s="6" t="s">
        <v>1562</v>
      </c>
      <c r="K25" s="6" t="s">
        <v>45</v>
      </c>
      <c r="L25" s="10">
        <v>12</v>
      </c>
      <c r="M25" s="10">
        <v>3</v>
      </c>
      <c r="N25" s="6" t="s">
        <v>1563</v>
      </c>
      <c r="O25" s="6" t="s">
        <v>1036</v>
      </c>
      <c r="P25" s="27" t="s">
        <v>42</v>
      </c>
      <c r="Q25" s="7">
        <v>44873</v>
      </c>
      <c r="R25" s="7"/>
      <c r="S25" s="6" t="s">
        <v>45</v>
      </c>
      <c r="T25" s="7"/>
      <c r="U25" s="34">
        <v>44873</v>
      </c>
    </row>
    <row r="26" spans="1:21" x14ac:dyDescent="0.35">
      <c r="A26" s="5" t="s">
        <v>1564</v>
      </c>
      <c r="B26" s="6" t="s">
        <v>796</v>
      </c>
      <c r="C26" s="6" t="s">
        <v>797</v>
      </c>
      <c r="D26" s="6" t="str">
        <f>VLOOKUP(B:B,'[2]Hakata Island Team'!$E:$G,3,)</f>
        <v>Senthilvelan</v>
      </c>
      <c r="E26" s="6" t="str">
        <f>VLOOKUP(B:B,'[2]Hakata Island Team'!$E:$H,4,)</f>
        <v xml:space="preserve">SPPL Fleet - A </v>
      </c>
      <c r="F26" s="6" t="s">
        <v>45</v>
      </c>
      <c r="G26" s="6" t="s">
        <v>45</v>
      </c>
      <c r="H26" s="7">
        <v>45812</v>
      </c>
      <c r="I26" s="6" t="s">
        <v>1565</v>
      </c>
      <c r="J26" s="6" t="s">
        <v>45</v>
      </c>
      <c r="K26" s="6" t="s">
        <v>45</v>
      </c>
      <c r="L26" s="10">
        <v>0</v>
      </c>
      <c r="M26" s="10">
        <v>0</v>
      </c>
      <c r="N26" s="6" t="s">
        <v>1537</v>
      </c>
      <c r="O26" s="6" t="s">
        <v>1036</v>
      </c>
      <c r="P26" s="27" t="s">
        <v>42</v>
      </c>
      <c r="Q26" s="7">
        <v>46030</v>
      </c>
      <c r="R26" s="7"/>
      <c r="S26" s="6" t="s">
        <v>45</v>
      </c>
      <c r="T26" s="7"/>
      <c r="U26" s="34">
        <v>44930</v>
      </c>
    </row>
    <row r="27" spans="1:21" x14ac:dyDescent="0.35">
      <c r="A27" s="5" t="s">
        <v>1321</v>
      </c>
      <c r="B27" s="6" t="s">
        <v>796</v>
      </c>
      <c r="C27" s="6" t="s">
        <v>797</v>
      </c>
      <c r="D27" s="6" t="str">
        <f>VLOOKUP(B:B,'[2]Hakata Island Team'!$E:$G,3,)</f>
        <v>Senthilvelan</v>
      </c>
      <c r="E27" s="6" t="str">
        <f>VLOOKUP(B:B,'[2]Hakata Island Team'!$E:$H,4,)</f>
        <v xml:space="preserve">SPPL Fleet - A </v>
      </c>
      <c r="F27" s="6" t="s">
        <v>1542</v>
      </c>
      <c r="G27" s="6" t="s">
        <v>1035</v>
      </c>
      <c r="H27" s="7">
        <v>45182</v>
      </c>
      <c r="I27" s="6" t="s">
        <v>1322</v>
      </c>
      <c r="J27" s="6" t="s">
        <v>1562</v>
      </c>
      <c r="K27" s="6" t="s">
        <v>1562</v>
      </c>
      <c r="L27" s="10">
        <v>12</v>
      </c>
      <c r="M27" s="10">
        <v>3</v>
      </c>
      <c r="N27" s="6" t="s">
        <v>1566</v>
      </c>
      <c r="O27" s="6" t="s">
        <v>1036</v>
      </c>
      <c r="P27" s="27" t="s">
        <v>42</v>
      </c>
      <c r="Q27" s="7">
        <v>45913</v>
      </c>
      <c r="R27" s="7"/>
      <c r="S27" s="6" t="s">
        <v>45</v>
      </c>
      <c r="T27" s="7"/>
      <c r="U27" s="34">
        <v>44873</v>
      </c>
    </row>
    <row r="28" spans="1:21" x14ac:dyDescent="0.35">
      <c r="A28" s="5" t="s">
        <v>1335</v>
      </c>
      <c r="B28" s="6" t="s">
        <v>796</v>
      </c>
      <c r="C28" s="6" t="s">
        <v>797</v>
      </c>
      <c r="D28" s="6" t="str">
        <f>VLOOKUP(B:B,'[2]Hakata Island Team'!$E:$G,3,)</f>
        <v>Senthilvelan</v>
      </c>
      <c r="E28" s="6" t="str">
        <f>VLOOKUP(B:B,'[2]Hakata Island Team'!$E:$H,4,)</f>
        <v xml:space="preserve">SPPL Fleet - A </v>
      </c>
      <c r="F28" s="6" t="s">
        <v>1542</v>
      </c>
      <c r="G28" s="6" t="s">
        <v>1035</v>
      </c>
      <c r="H28" s="7">
        <v>45144</v>
      </c>
      <c r="I28" s="6" t="s">
        <v>1336</v>
      </c>
      <c r="J28" s="6" t="s">
        <v>1562</v>
      </c>
      <c r="K28" s="6" t="s">
        <v>1562</v>
      </c>
      <c r="L28" s="10">
        <v>12</v>
      </c>
      <c r="M28" s="10">
        <v>3</v>
      </c>
      <c r="N28" s="6" t="s">
        <v>1567</v>
      </c>
      <c r="O28" s="6" t="s">
        <v>1036</v>
      </c>
      <c r="P28" s="27" t="s">
        <v>42</v>
      </c>
      <c r="Q28" s="7">
        <v>45875</v>
      </c>
      <c r="R28" s="7"/>
      <c r="S28" s="6" t="s">
        <v>45</v>
      </c>
      <c r="T28" s="7"/>
      <c r="U28" s="34">
        <v>44873</v>
      </c>
    </row>
    <row r="29" spans="1:21" x14ac:dyDescent="0.35">
      <c r="A29" s="5" t="s">
        <v>1309</v>
      </c>
      <c r="B29" s="6" t="s">
        <v>796</v>
      </c>
      <c r="C29" s="6" t="s">
        <v>797</v>
      </c>
      <c r="D29" s="6" t="str">
        <f>VLOOKUP(B:B,'[2]Hakata Island Team'!$E:$G,3,)</f>
        <v>Senthilvelan</v>
      </c>
      <c r="E29" s="6" t="str">
        <f>VLOOKUP(B:B,'[2]Hakata Island Team'!$E:$H,4,)</f>
        <v xml:space="preserve">SPPL Fleet - A </v>
      </c>
      <c r="F29" s="6" t="s">
        <v>1542</v>
      </c>
      <c r="G29" s="6" t="s">
        <v>1035</v>
      </c>
      <c r="H29" s="7">
        <v>44417</v>
      </c>
      <c r="I29" s="6" t="s">
        <v>1310</v>
      </c>
      <c r="J29" s="6" t="s">
        <v>1562</v>
      </c>
      <c r="K29" s="6" t="s">
        <v>1562</v>
      </c>
      <c r="L29" s="10">
        <v>12</v>
      </c>
      <c r="M29" s="10">
        <v>3</v>
      </c>
      <c r="N29" s="6" t="s">
        <v>1568</v>
      </c>
      <c r="O29" s="6" t="s">
        <v>1036</v>
      </c>
      <c r="P29" s="27" t="s">
        <v>42</v>
      </c>
      <c r="Q29" s="7">
        <v>45875</v>
      </c>
      <c r="R29" s="7"/>
      <c r="S29" s="6" t="s">
        <v>45</v>
      </c>
      <c r="T29" s="7"/>
      <c r="U29" s="34">
        <v>44025</v>
      </c>
    </row>
    <row r="30" spans="1:21" x14ac:dyDescent="0.35">
      <c r="A30" s="5" t="s">
        <v>1309</v>
      </c>
      <c r="B30" s="6" t="s">
        <v>796</v>
      </c>
      <c r="C30" s="6" t="s">
        <v>797</v>
      </c>
      <c r="D30" s="6" t="str">
        <f>VLOOKUP(B:B,'[2]Hakata Island Team'!$E:$G,3,)</f>
        <v>Senthilvelan</v>
      </c>
      <c r="E30" s="6" t="str">
        <f>VLOOKUP(B:B,'[2]Hakata Island Team'!$E:$H,4,)</f>
        <v xml:space="preserve">SPPL Fleet - A </v>
      </c>
      <c r="F30" s="6" t="s">
        <v>1539</v>
      </c>
      <c r="G30" s="6" t="s">
        <v>1433</v>
      </c>
      <c r="H30" s="7">
        <v>45878</v>
      </c>
      <c r="I30" s="6" t="s">
        <v>1310</v>
      </c>
      <c r="J30" s="6" t="s">
        <v>45</v>
      </c>
      <c r="K30" s="6" t="s">
        <v>45</v>
      </c>
      <c r="L30" s="10">
        <v>30</v>
      </c>
      <c r="M30" s="10">
        <v>9</v>
      </c>
      <c r="N30" s="6" t="s">
        <v>1569</v>
      </c>
      <c r="O30" s="6" t="s">
        <v>1036</v>
      </c>
      <c r="P30" s="27" t="s">
        <v>42</v>
      </c>
      <c r="Q30" s="7">
        <v>45875</v>
      </c>
      <c r="R30" s="7"/>
      <c r="S30" s="6" t="s">
        <v>45</v>
      </c>
      <c r="T30" s="7"/>
      <c r="U30" s="34">
        <v>44873</v>
      </c>
    </row>
    <row r="31" spans="1:21" x14ac:dyDescent="0.35">
      <c r="A31" s="5" t="s">
        <v>1309</v>
      </c>
      <c r="B31" s="6" t="s">
        <v>796</v>
      </c>
      <c r="C31" s="6" t="s">
        <v>797</v>
      </c>
      <c r="D31" s="6" t="str">
        <f>VLOOKUP(B:B,'[2]Hakata Island Team'!$E:$G,3,)</f>
        <v>Senthilvelan</v>
      </c>
      <c r="E31" s="6" t="str">
        <f>VLOOKUP(B:B,'[2]Hakata Island Team'!$E:$H,4,)</f>
        <v xml:space="preserve">SPPL Fleet - A </v>
      </c>
      <c r="F31" s="6" t="s">
        <v>1570</v>
      </c>
      <c r="G31" s="6" t="s">
        <v>1433</v>
      </c>
      <c r="H31" s="7">
        <v>45878</v>
      </c>
      <c r="I31" s="6" t="s">
        <v>1310</v>
      </c>
      <c r="J31" s="6" t="s">
        <v>45</v>
      </c>
      <c r="K31" s="6" t="s">
        <v>45</v>
      </c>
      <c r="L31" s="10">
        <v>30</v>
      </c>
      <c r="M31" s="10">
        <v>9</v>
      </c>
      <c r="N31" s="6" t="s">
        <v>1569</v>
      </c>
      <c r="O31" s="6" t="s">
        <v>1036</v>
      </c>
      <c r="P31" s="27" t="s">
        <v>42</v>
      </c>
      <c r="Q31" s="7">
        <v>45875</v>
      </c>
      <c r="R31" s="7"/>
      <c r="S31" s="6" t="s">
        <v>45</v>
      </c>
      <c r="T31" s="7"/>
      <c r="U31" s="34">
        <v>44873</v>
      </c>
    </row>
    <row r="32" spans="1:21" x14ac:dyDescent="0.35">
      <c r="A32" s="5" t="s">
        <v>1571</v>
      </c>
      <c r="B32" s="6" t="s">
        <v>372</v>
      </c>
      <c r="C32" s="6" t="s">
        <v>1559</v>
      </c>
      <c r="D32" s="6" t="str">
        <f>VLOOKUP(B:B,'[2]Hakata Island Team'!$E:$G,3,)</f>
        <v>Praveen Kumar</v>
      </c>
      <c r="E32" s="6" t="str">
        <f>VLOOKUP(B:B,'[2]Hakata Island Team'!$E:$H,4,)</f>
        <v>SPPL Fleet - G</v>
      </c>
      <c r="F32" s="6" t="s">
        <v>45</v>
      </c>
      <c r="G32" s="6" t="s">
        <v>45</v>
      </c>
      <c r="H32" s="7">
        <v>45382</v>
      </c>
      <c r="I32" s="6" t="s">
        <v>1572</v>
      </c>
      <c r="J32" s="6" t="s">
        <v>45</v>
      </c>
      <c r="K32" s="6" t="s">
        <v>45</v>
      </c>
      <c r="L32" s="10">
        <v>0</v>
      </c>
      <c r="M32" s="10">
        <v>0</v>
      </c>
      <c r="N32" s="6" t="s">
        <v>1537</v>
      </c>
      <c r="O32" s="6" t="s">
        <v>1036</v>
      </c>
      <c r="P32" s="27" t="s">
        <v>42</v>
      </c>
      <c r="Q32" s="7">
        <v>46080</v>
      </c>
      <c r="R32" s="7"/>
      <c r="S32" s="6" t="s">
        <v>45</v>
      </c>
      <c r="T32" s="7"/>
      <c r="U32" s="34">
        <v>45016</v>
      </c>
    </row>
    <row r="33" spans="1:21" x14ac:dyDescent="0.35">
      <c r="A33" s="5" t="s">
        <v>1252</v>
      </c>
      <c r="B33" s="6" t="s">
        <v>777</v>
      </c>
      <c r="C33" s="6" t="s">
        <v>778</v>
      </c>
      <c r="D33" s="6" t="str">
        <f>VLOOKUP(B:B,'[2]Hakata Island Team'!$E:$G,3,)</f>
        <v>Saravana Kumar Sundar</v>
      </c>
      <c r="E33" s="6" t="str">
        <f>VLOOKUP(B:B,'[2]Hakata Island Team'!$E:$H,4,)</f>
        <v xml:space="preserve">SPPL Fleet - A </v>
      </c>
      <c r="F33" s="6" t="s">
        <v>45</v>
      </c>
      <c r="G33" s="6" t="s">
        <v>45</v>
      </c>
      <c r="H33" s="7">
        <v>45658</v>
      </c>
      <c r="I33" s="6" t="s">
        <v>1253</v>
      </c>
      <c r="J33" s="6" t="s">
        <v>45</v>
      </c>
      <c r="K33" s="6" t="s">
        <v>45</v>
      </c>
      <c r="L33" s="10">
        <v>0</v>
      </c>
      <c r="M33" s="10">
        <v>0</v>
      </c>
      <c r="N33" s="6" t="s">
        <v>1537</v>
      </c>
      <c r="O33" s="6" t="s">
        <v>1125</v>
      </c>
      <c r="P33" s="27" t="s">
        <v>42</v>
      </c>
      <c r="Q33" s="7">
        <v>45823</v>
      </c>
      <c r="R33" s="7"/>
      <c r="S33" s="6" t="s">
        <v>45</v>
      </c>
      <c r="T33" s="7"/>
      <c r="U33" s="34">
        <v>45002</v>
      </c>
    </row>
    <row r="34" spans="1:21" x14ac:dyDescent="0.35">
      <c r="A34" s="5" t="s">
        <v>1573</v>
      </c>
      <c r="B34" s="6" t="s">
        <v>372</v>
      </c>
      <c r="C34" s="6" t="s">
        <v>1559</v>
      </c>
      <c r="D34" s="6" t="str">
        <f>VLOOKUP(B:B,'[2]Hakata Island Team'!$E:$G,3,)</f>
        <v>Praveen Kumar</v>
      </c>
      <c r="E34" s="6" t="str">
        <f>VLOOKUP(B:B,'[2]Hakata Island Team'!$E:$H,4,)</f>
        <v>SPPL Fleet - G</v>
      </c>
      <c r="F34" s="6" t="s">
        <v>1574</v>
      </c>
      <c r="G34" s="6" t="s">
        <v>1184</v>
      </c>
      <c r="H34" s="7">
        <v>46184</v>
      </c>
      <c r="I34" s="6" t="s">
        <v>1026</v>
      </c>
      <c r="J34" s="6" t="s">
        <v>45</v>
      </c>
      <c r="K34" s="6" t="s">
        <v>45</v>
      </c>
      <c r="L34" s="10">
        <v>12</v>
      </c>
      <c r="M34" s="10">
        <v>0</v>
      </c>
      <c r="N34" s="6" t="s">
        <v>1537</v>
      </c>
      <c r="O34" s="6" t="s">
        <v>1036</v>
      </c>
      <c r="P34" s="27" t="s">
        <v>42</v>
      </c>
      <c r="Q34" s="7">
        <v>45819</v>
      </c>
      <c r="R34" s="7"/>
      <c r="S34" s="6" t="s">
        <v>45</v>
      </c>
      <c r="T34" s="7"/>
      <c r="U34" s="34">
        <v>45819</v>
      </c>
    </row>
    <row r="35" spans="1:21" x14ac:dyDescent="0.35">
      <c r="A35" s="5" t="s">
        <v>1573</v>
      </c>
      <c r="B35" s="6" t="s">
        <v>372</v>
      </c>
      <c r="C35" s="6" t="s">
        <v>1559</v>
      </c>
      <c r="D35" s="6" t="str">
        <f>VLOOKUP(B:B,'[2]Hakata Island Team'!$E:$G,3,)</f>
        <v>Praveen Kumar</v>
      </c>
      <c r="E35" s="6" t="str">
        <f>VLOOKUP(B:B,'[2]Hakata Island Team'!$E:$H,4,)</f>
        <v>SPPL Fleet - G</v>
      </c>
      <c r="F35" s="6" t="s">
        <v>1575</v>
      </c>
      <c r="G35" s="6" t="s">
        <v>1184</v>
      </c>
      <c r="H35" s="7">
        <v>46184</v>
      </c>
      <c r="I35" s="6" t="s">
        <v>1026</v>
      </c>
      <c r="J35" s="6" t="s">
        <v>45</v>
      </c>
      <c r="K35" s="6" t="s">
        <v>45</v>
      </c>
      <c r="L35" s="10">
        <v>12</v>
      </c>
      <c r="M35" s="10">
        <v>0</v>
      </c>
      <c r="N35" s="6" t="s">
        <v>1537</v>
      </c>
      <c r="O35" s="6" t="s">
        <v>1036</v>
      </c>
      <c r="P35" s="27" t="s">
        <v>42</v>
      </c>
      <c r="Q35" s="7">
        <v>45819</v>
      </c>
      <c r="R35" s="7"/>
      <c r="S35" s="6" t="s">
        <v>45</v>
      </c>
      <c r="T35" s="7"/>
      <c r="U35" s="34">
        <v>45819</v>
      </c>
    </row>
    <row r="36" spans="1:21" x14ac:dyDescent="0.35">
      <c r="A36" s="5" t="s">
        <v>1573</v>
      </c>
      <c r="B36" s="6" t="s">
        <v>372</v>
      </c>
      <c r="C36" s="6" t="s">
        <v>1559</v>
      </c>
      <c r="D36" s="6" t="str">
        <f>VLOOKUP(B:B,'[2]Hakata Island Team'!$E:$G,3,)</f>
        <v>Praveen Kumar</v>
      </c>
      <c r="E36" s="6" t="str">
        <f>VLOOKUP(B:B,'[2]Hakata Island Team'!$E:$H,4,)</f>
        <v>SPPL Fleet - G</v>
      </c>
      <c r="F36" s="6" t="s">
        <v>1576</v>
      </c>
      <c r="G36" s="6" t="s">
        <v>1184</v>
      </c>
      <c r="H36" s="7">
        <v>46184</v>
      </c>
      <c r="I36" s="6" t="s">
        <v>1026</v>
      </c>
      <c r="J36" s="6" t="s">
        <v>45</v>
      </c>
      <c r="K36" s="6" t="s">
        <v>45</v>
      </c>
      <c r="L36" s="10">
        <v>12</v>
      </c>
      <c r="M36" s="10">
        <v>0</v>
      </c>
      <c r="N36" s="6" t="s">
        <v>1537</v>
      </c>
      <c r="O36" s="6" t="s">
        <v>1036</v>
      </c>
      <c r="P36" s="27" t="s">
        <v>42</v>
      </c>
      <c r="Q36" s="7">
        <v>45819</v>
      </c>
      <c r="R36" s="7"/>
      <c r="S36" s="6" t="s">
        <v>45</v>
      </c>
      <c r="T36" s="7"/>
      <c r="U36" s="34">
        <v>45819</v>
      </c>
    </row>
    <row r="37" spans="1:21" x14ac:dyDescent="0.35">
      <c r="A37" s="5" t="s">
        <v>1573</v>
      </c>
      <c r="B37" s="6" t="s">
        <v>372</v>
      </c>
      <c r="C37" s="6" t="s">
        <v>1559</v>
      </c>
      <c r="D37" s="6" t="str">
        <f>VLOOKUP(B:B,'[2]Hakata Island Team'!$E:$G,3,)</f>
        <v>Praveen Kumar</v>
      </c>
      <c r="E37" s="6" t="str">
        <f>VLOOKUP(B:B,'[2]Hakata Island Team'!$E:$H,4,)</f>
        <v>SPPL Fleet - G</v>
      </c>
      <c r="F37" s="6" t="s">
        <v>1577</v>
      </c>
      <c r="G37" s="6" t="s">
        <v>1184</v>
      </c>
      <c r="H37" s="7">
        <v>46184</v>
      </c>
      <c r="I37" s="6" t="s">
        <v>1026</v>
      </c>
      <c r="J37" s="6" t="s">
        <v>45</v>
      </c>
      <c r="K37" s="6" t="s">
        <v>45</v>
      </c>
      <c r="L37" s="10">
        <v>12</v>
      </c>
      <c r="M37" s="10">
        <v>0</v>
      </c>
      <c r="N37" s="6" t="s">
        <v>1537</v>
      </c>
      <c r="O37" s="6" t="s">
        <v>1036</v>
      </c>
      <c r="P37" s="27" t="s">
        <v>42</v>
      </c>
      <c r="Q37" s="7">
        <v>45819</v>
      </c>
      <c r="R37" s="7"/>
      <c r="S37" s="6" t="s">
        <v>45</v>
      </c>
      <c r="T37" s="7"/>
      <c r="U37" s="34">
        <v>45819</v>
      </c>
    </row>
    <row r="38" spans="1:21" x14ac:dyDescent="0.35">
      <c r="A38" s="5" t="s">
        <v>1573</v>
      </c>
      <c r="B38" s="6" t="s">
        <v>372</v>
      </c>
      <c r="C38" s="6" t="s">
        <v>1559</v>
      </c>
      <c r="D38" s="6" t="str">
        <f>VLOOKUP(B:B,'[2]Hakata Island Team'!$E:$G,3,)</f>
        <v>Praveen Kumar</v>
      </c>
      <c r="E38" s="6" t="str">
        <f>VLOOKUP(B:B,'[2]Hakata Island Team'!$E:$H,4,)</f>
        <v>SPPL Fleet - G</v>
      </c>
      <c r="F38" s="6" t="s">
        <v>1578</v>
      </c>
      <c r="G38" s="6" t="s">
        <v>1184</v>
      </c>
      <c r="H38" s="7">
        <v>46184</v>
      </c>
      <c r="I38" s="6" t="s">
        <v>1026</v>
      </c>
      <c r="J38" s="6" t="s">
        <v>45</v>
      </c>
      <c r="K38" s="6" t="s">
        <v>45</v>
      </c>
      <c r="L38" s="10">
        <v>12</v>
      </c>
      <c r="M38" s="10">
        <v>0</v>
      </c>
      <c r="N38" s="6" t="s">
        <v>1537</v>
      </c>
      <c r="O38" s="6" t="s">
        <v>1036</v>
      </c>
      <c r="P38" s="27" t="s">
        <v>42</v>
      </c>
      <c r="Q38" s="7">
        <v>45819</v>
      </c>
      <c r="R38" s="7"/>
      <c r="S38" s="6" t="s">
        <v>45</v>
      </c>
      <c r="T38" s="7"/>
      <c r="U38" s="34">
        <v>45819</v>
      </c>
    </row>
    <row r="39" spans="1:21" x14ac:dyDescent="0.35">
      <c r="A39" s="5" t="s">
        <v>1297</v>
      </c>
      <c r="B39" s="6" t="s">
        <v>84</v>
      </c>
      <c r="C39" s="6" t="s">
        <v>1517</v>
      </c>
      <c r="D39" s="6" t="str">
        <f>VLOOKUP(B:B,'[2]Hakata Island Team'!$E:$G,3,)</f>
        <v>Madhan Sridhar</v>
      </c>
      <c r="E39" s="6" t="str">
        <f>VLOOKUP(B:B,'[2]Hakata Island Team'!$E:$H,4,)</f>
        <v>SPPL Fleet - D</v>
      </c>
      <c r="F39" s="6" t="s">
        <v>1534</v>
      </c>
      <c r="G39" s="6" t="s">
        <v>1535</v>
      </c>
      <c r="H39" s="7">
        <v>46188</v>
      </c>
      <c r="I39" s="6" t="s">
        <v>1298</v>
      </c>
      <c r="J39" s="6" t="s">
        <v>45</v>
      </c>
      <c r="K39" s="6" t="s">
        <v>45</v>
      </c>
      <c r="L39" s="10">
        <v>29</v>
      </c>
      <c r="M39" s="10">
        <v>0</v>
      </c>
      <c r="N39" s="6" t="s">
        <v>1537</v>
      </c>
      <c r="O39" s="6" t="s">
        <v>1036</v>
      </c>
      <c r="P39" s="27" t="s">
        <v>42</v>
      </c>
      <c r="Q39" s="7">
        <v>45306</v>
      </c>
      <c r="R39" s="7"/>
      <c r="S39" s="6" t="s">
        <v>45</v>
      </c>
      <c r="T39" s="7"/>
      <c r="U39" s="34"/>
    </row>
    <row r="40" spans="1:21" x14ac:dyDescent="0.35">
      <c r="A40" s="5" t="s">
        <v>1297</v>
      </c>
      <c r="B40" s="6" t="s">
        <v>84</v>
      </c>
      <c r="C40" s="6" t="s">
        <v>1517</v>
      </c>
      <c r="D40" s="6" t="str">
        <f>VLOOKUP(B:B,'[2]Hakata Island Team'!$E:$G,3,)</f>
        <v>Madhan Sridhar</v>
      </c>
      <c r="E40" s="6" t="str">
        <f>VLOOKUP(B:B,'[2]Hakata Island Team'!$E:$H,4,)</f>
        <v>SPPL Fleet - D</v>
      </c>
      <c r="F40" s="6" t="s">
        <v>1538</v>
      </c>
      <c r="G40" s="6" t="s">
        <v>1535</v>
      </c>
      <c r="H40" s="7">
        <v>46188</v>
      </c>
      <c r="I40" s="6" t="s">
        <v>1298</v>
      </c>
      <c r="J40" s="6" t="s">
        <v>45</v>
      </c>
      <c r="K40" s="6" t="s">
        <v>45</v>
      </c>
      <c r="L40" s="10">
        <v>29</v>
      </c>
      <c r="M40" s="10">
        <v>0</v>
      </c>
      <c r="N40" s="6" t="s">
        <v>1537</v>
      </c>
      <c r="O40" s="6" t="s">
        <v>1036</v>
      </c>
      <c r="P40" s="27" t="s">
        <v>42</v>
      </c>
      <c r="Q40" s="7">
        <v>45306</v>
      </c>
      <c r="R40" s="7"/>
      <c r="S40" s="6" t="s">
        <v>45</v>
      </c>
      <c r="T40" s="7"/>
      <c r="U40" s="34"/>
    </row>
    <row r="41" spans="1:21" x14ac:dyDescent="0.35">
      <c r="A41" s="5" t="s">
        <v>1321</v>
      </c>
      <c r="B41" s="6" t="s">
        <v>67</v>
      </c>
      <c r="C41" s="6" t="s">
        <v>1033</v>
      </c>
      <c r="D41" s="6" t="str">
        <f>VLOOKUP(B:B,'[2]Hakata Island Team'!$E:$G,3,)</f>
        <v>Vinoth Kumar R</v>
      </c>
      <c r="E41" s="6" t="str">
        <f>VLOOKUP(B:B,'[2]Hakata Island Team'!$E:$H,4,)</f>
        <v xml:space="preserve">SPPL Fleet - A </v>
      </c>
      <c r="F41" s="6" t="s">
        <v>1542</v>
      </c>
      <c r="G41" s="6" t="s">
        <v>1035</v>
      </c>
      <c r="H41" s="7">
        <v>47119</v>
      </c>
      <c r="I41" s="6" t="s">
        <v>1322</v>
      </c>
      <c r="J41" s="6" t="s">
        <v>45</v>
      </c>
      <c r="K41" s="6" t="s">
        <v>45</v>
      </c>
      <c r="L41" s="10">
        <v>12</v>
      </c>
      <c r="M41" s="10">
        <v>3</v>
      </c>
      <c r="N41" s="6" t="s">
        <v>1579</v>
      </c>
      <c r="O41" s="6" t="s">
        <v>1036</v>
      </c>
      <c r="P41" s="27" t="s">
        <v>42</v>
      </c>
      <c r="Q41" s="7">
        <v>45421</v>
      </c>
      <c r="R41" s="7"/>
      <c r="S41" s="6" t="s">
        <v>45</v>
      </c>
      <c r="T41" s="7"/>
      <c r="U41" s="34">
        <v>45421</v>
      </c>
    </row>
    <row r="42" spans="1:21" x14ac:dyDescent="0.35">
      <c r="A42" s="5" t="s">
        <v>1286</v>
      </c>
      <c r="B42" s="6" t="s">
        <v>67</v>
      </c>
      <c r="C42" s="6" t="s">
        <v>1033</v>
      </c>
      <c r="D42" s="6" t="str">
        <f>VLOOKUP(B:B,'[2]Hakata Island Team'!$E:$G,3,)</f>
        <v>Vinoth Kumar R</v>
      </c>
      <c r="E42" s="6" t="str">
        <f>VLOOKUP(B:B,'[2]Hakata Island Team'!$E:$H,4,)</f>
        <v xml:space="preserve">SPPL Fleet - A </v>
      </c>
      <c r="F42" s="6" t="s">
        <v>1542</v>
      </c>
      <c r="G42" s="6" t="s">
        <v>1035</v>
      </c>
      <c r="H42" s="7">
        <v>47119</v>
      </c>
      <c r="I42" s="6" t="s">
        <v>1288</v>
      </c>
      <c r="J42" s="6" t="s">
        <v>45</v>
      </c>
      <c r="K42" s="6" t="s">
        <v>45</v>
      </c>
      <c r="L42" s="10">
        <v>12</v>
      </c>
      <c r="M42" s="10">
        <v>3</v>
      </c>
      <c r="N42" s="6" t="s">
        <v>1579</v>
      </c>
      <c r="O42" s="6" t="s">
        <v>1036</v>
      </c>
      <c r="P42" s="27" t="s">
        <v>42</v>
      </c>
      <c r="Q42" s="7">
        <v>45421</v>
      </c>
      <c r="R42" s="7"/>
      <c r="S42" s="6" t="s">
        <v>45</v>
      </c>
      <c r="T42" s="7"/>
      <c r="U42" s="34">
        <v>44594</v>
      </c>
    </row>
    <row r="43" spans="1:21" x14ac:dyDescent="0.35">
      <c r="A43" s="5" t="s">
        <v>1328</v>
      </c>
      <c r="B43" s="6" t="s">
        <v>67</v>
      </c>
      <c r="C43" s="6" t="s">
        <v>1033</v>
      </c>
      <c r="D43" s="6" t="str">
        <f>VLOOKUP(B:B,'[2]Hakata Island Team'!$E:$G,3,)</f>
        <v>Vinoth Kumar R</v>
      </c>
      <c r="E43" s="6" t="str">
        <f>VLOOKUP(B:B,'[2]Hakata Island Team'!$E:$H,4,)</f>
        <v xml:space="preserve">SPPL Fleet - A </v>
      </c>
      <c r="F43" s="6" t="s">
        <v>1542</v>
      </c>
      <c r="G43" s="6" t="s">
        <v>1035</v>
      </c>
      <c r="H43" s="7">
        <v>47119</v>
      </c>
      <c r="I43" s="6" t="s">
        <v>1329</v>
      </c>
      <c r="J43" s="6" t="s">
        <v>45</v>
      </c>
      <c r="K43" s="6" t="s">
        <v>45</v>
      </c>
      <c r="L43" s="10">
        <v>12</v>
      </c>
      <c r="M43" s="10">
        <v>3</v>
      </c>
      <c r="N43" s="6" t="s">
        <v>1579</v>
      </c>
      <c r="O43" s="6" t="s">
        <v>1036</v>
      </c>
      <c r="P43" s="27" t="s">
        <v>42</v>
      </c>
      <c r="Q43" s="7">
        <v>45421</v>
      </c>
      <c r="R43" s="7"/>
      <c r="S43" s="6" t="s">
        <v>45</v>
      </c>
      <c r="T43" s="7"/>
      <c r="U43" s="34">
        <v>44594</v>
      </c>
    </row>
    <row r="44" spans="1:21" x14ac:dyDescent="0.35">
      <c r="A44" s="5" t="s">
        <v>1564</v>
      </c>
      <c r="B44" s="6" t="s">
        <v>348</v>
      </c>
      <c r="C44" s="6" t="s">
        <v>1580</v>
      </c>
      <c r="D44" s="6" t="str">
        <f>VLOOKUP(B:B,'[2]Hakata Island Team'!$E:$G,3,)</f>
        <v>Karthik Nair</v>
      </c>
      <c r="E44" s="6" t="str">
        <f>VLOOKUP(B:B,'[2]Hakata Island Team'!$E:$H,4,)</f>
        <v>SPPL Fleet - B</v>
      </c>
      <c r="F44" s="6" t="s">
        <v>45</v>
      </c>
      <c r="G44" s="6" t="s">
        <v>45</v>
      </c>
      <c r="H44" s="7">
        <v>45537</v>
      </c>
      <c r="I44" s="6" t="s">
        <v>1565</v>
      </c>
      <c r="J44" s="6" t="s">
        <v>45</v>
      </c>
      <c r="K44" s="6" t="s">
        <v>45</v>
      </c>
      <c r="L44" s="10">
        <v>0</v>
      </c>
      <c r="M44" s="10">
        <v>0</v>
      </c>
      <c r="N44" s="6" t="s">
        <v>1537</v>
      </c>
      <c r="O44" s="6" t="s">
        <v>1036</v>
      </c>
      <c r="P44" s="27" t="s">
        <v>42</v>
      </c>
      <c r="Q44" s="7">
        <v>45841</v>
      </c>
      <c r="R44" s="7"/>
      <c r="S44" s="6" t="s">
        <v>45</v>
      </c>
      <c r="T44" s="7"/>
      <c r="U44" s="34">
        <v>44653</v>
      </c>
    </row>
    <row r="45" spans="1:21" x14ac:dyDescent="0.35">
      <c r="A45" s="5" t="s">
        <v>1564</v>
      </c>
      <c r="B45" s="6" t="s">
        <v>141</v>
      </c>
      <c r="C45" s="6" t="s">
        <v>1041</v>
      </c>
      <c r="D45" s="6" t="str">
        <f>VLOOKUP(B:B,'[2]Hakata Island Team'!$E:$G,3,)</f>
        <v>Vinoth Kumar R</v>
      </c>
      <c r="E45" s="6" t="str">
        <f>VLOOKUP(B:B,'[2]Hakata Island Team'!$E:$H,4,)</f>
        <v xml:space="preserve">SPPL Fleet - A </v>
      </c>
      <c r="F45" s="6" t="s">
        <v>45</v>
      </c>
      <c r="G45" s="6" t="s">
        <v>45</v>
      </c>
      <c r="H45" s="7">
        <v>45338</v>
      </c>
      <c r="I45" s="6" t="s">
        <v>1565</v>
      </c>
      <c r="J45" s="6" t="s">
        <v>45</v>
      </c>
      <c r="K45" s="6" t="s">
        <v>45</v>
      </c>
      <c r="L45" s="10">
        <v>0</v>
      </c>
      <c r="M45" s="10">
        <v>0</v>
      </c>
      <c r="N45" s="6" t="s">
        <v>1537</v>
      </c>
      <c r="O45" s="6" t="s">
        <v>1036</v>
      </c>
      <c r="P45" s="27" t="s">
        <v>42</v>
      </c>
      <c r="Q45" s="7">
        <v>45776</v>
      </c>
      <c r="R45" s="7"/>
      <c r="S45" s="6" t="s">
        <v>45</v>
      </c>
      <c r="T45" s="7"/>
      <c r="U45" s="34">
        <v>44455</v>
      </c>
    </row>
    <row r="46" spans="1:21" x14ac:dyDescent="0.35">
      <c r="A46" s="5" t="s">
        <v>1306</v>
      </c>
      <c r="B46" s="6" t="s">
        <v>141</v>
      </c>
      <c r="C46" s="6" t="s">
        <v>1041</v>
      </c>
      <c r="D46" s="6" t="str">
        <f>VLOOKUP(B:B,'[2]Hakata Island Team'!$E:$G,3,)</f>
        <v>Vinoth Kumar R</v>
      </c>
      <c r="E46" s="6" t="str">
        <f>VLOOKUP(B:B,'[2]Hakata Island Team'!$E:$H,4,)</f>
        <v xml:space="preserve">SPPL Fleet - A </v>
      </c>
      <c r="F46" s="6" t="s">
        <v>45</v>
      </c>
      <c r="G46" s="6" t="s">
        <v>45</v>
      </c>
      <c r="H46" s="7">
        <v>45338</v>
      </c>
      <c r="I46" s="6" t="s">
        <v>1307</v>
      </c>
      <c r="J46" s="6" t="s">
        <v>45</v>
      </c>
      <c r="K46" s="6" t="s">
        <v>45</v>
      </c>
      <c r="L46" s="10">
        <v>0</v>
      </c>
      <c r="M46" s="10">
        <v>0</v>
      </c>
      <c r="N46" s="6" t="s">
        <v>1537</v>
      </c>
      <c r="O46" s="6" t="s">
        <v>1036</v>
      </c>
      <c r="P46" s="27" t="s">
        <v>42</v>
      </c>
      <c r="Q46" s="7">
        <v>45490</v>
      </c>
      <c r="R46" s="7"/>
      <c r="S46" s="6" t="s">
        <v>45</v>
      </c>
      <c r="T46" s="7"/>
      <c r="U46" s="34">
        <v>44455</v>
      </c>
    </row>
    <row r="47" spans="1:21" x14ac:dyDescent="0.35">
      <c r="A47" s="5" t="s">
        <v>1252</v>
      </c>
      <c r="B47" s="6" t="s">
        <v>141</v>
      </c>
      <c r="C47" s="6" t="s">
        <v>1041</v>
      </c>
      <c r="D47" s="6" t="str">
        <f>VLOOKUP(B:B,'[2]Hakata Island Team'!$E:$G,3,)</f>
        <v>Vinoth Kumar R</v>
      </c>
      <c r="E47" s="6" t="str">
        <f>VLOOKUP(B:B,'[2]Hakata Island Team'!$E:$H,4,)</f>
        <v xml:space="preserve">SPPL Fleet - A </v>
      </c>
      <c r="F47" s="6" t="s">
        <v>1581</v>
      </c>
      <c r="G47" s="6" t="s">
        <v>1433</v>
      </c>
      <c r="H47" s="7">
        <v>46339</v>
      </c>
      <c r="I47" s="6" t="s">
        <v>1253</v>
      </c>
      <c r="J47" s="6" t="s">
        <v>45</v>
      </c>
      <c r="K47" s="6" t="s">
        <v>45</v>
      </c>
      <c r="L47" s="10">
        <v>29</v>
      </c>
      <c r="M47" s="10">
        <v>3</v>
      </c>
      <c r="N47" s="6" t="s">
        <v>1547</v>
      </c>
      <c r="O47" s="6" t="s">
        <v>1036</v>
      </c>
      <c r="P47" s="27" t="s">
        <v>42</v>
      </c>
      <c r="Q47" s="7">
        <v>45456</v>
      </c>
      <c r="R47" s="7"/>
      <c r="S47" s="6" t="s">
        <v>45</v>
      </c>
      <c r="T47" s="7"/>
      <c r="U47" s="34"/>
    </row>
    <row r="48" spans="1:21" x14ac:dyDescent="0.35">
      <c r="A48" s="5" t="s">
        <v>1252</v>
      </c>
      <c r="B48" s="6" t="s">
        <v>141</v>
      </c>
      <c r="C48" s="6" t="s">
        <v>1041</v>
      </c>
      <c r="D48" s="6" t="str">
        <f>VLOOKUP(B:B,'[2]Hakata Island Team'!$E:$G,3,)</f>
        <v>Vinoth Kumar R</v>
      </c>
      <c r="E48" s="6" t="str">
        <f>VLOOKUP(B:B,'[2]Hakata Island Team'!$E:$H,4,)</f>
        <v xml:space="preserve">SPPL Fleet - A </v>
      </c>
      <c r="F48" s="6" t="s">
        <v>45</v>
      </c>
      <c r="G48" s="6" t="s">
        <v>45</v>
      </c>
      <c r="H48" s="7">
        <v>45338</v>
      </c>
      <c r="I48" s="6" t="s">
        <v>1253</v>
      </c>
      <c r="J48" s="6" t="s">
        <v>45</v>
      </c>
      <c r="K48" s="6" t="s">
        <v>45</v>
      </c>
      <c r="L48" s="10">
        <v>0</v>
      </c>
      <c r="M48" s="10">
        <v>0</v>
      </c>
      <c r="N48" s="6" t="s">
        <v>1537</v>
      </c>
      <c r="O48" s="6" t="s">
        <v>1036</v>
      </c>
      <c r="P48" s="27" t="s">
        <v>42</v>
      </c>
      <c r="Q48" s="7">
        <v>45456</v>
      </c>
      <c r="R48" s="7"/>
      <c r="S48" s="6" t="s">
        <v>45</v>
      </c>
      <c r="T48" s="7"/>
      <c r="U48" s="34">
        <v>44455</v>
      </c>
    </row>
    <row r="49" spans="1:21" x14ac:dyDescent="0.35">
      <c r="A49" s="5" t="s">
        <v>1360</v>
      </c>
      <c r="B49" s="6" t="s">
        <v>489</v>
      </c>
      <c r="C49" s="6" t="s">
        <v>1582</v>
      </c>
      <c r="D49" s="6" t="str">
        <f>VLOOKUP(B:B,'[2]Hakata Island Team'!$E:$G,3,)</f>
        <v>Adarsh Munshi</v>
      </c>
      <c r="E49" s="6" t="str">
        <f>VLOOKUP(B:B,'[2]Hakata Island Team'!$E:$H,4,)</f>
        <v>SPPL Fleet - E</v>
      </c>
      <c r="F49" s="6" t="s">
        <v>1542</v>
      </c>
      <c r="G49" s="6" t="s">
        <v>1035</v>
      </c>
      <c r="H49" s="7">
        <v>46095</v>
      </c>
      <c r="I49" s="6" t="s">
        <v>1361</v>
      </c>
      <c r="J49" s="6" t="s">
        <v>45</v>
      </c>
      <c r="K49" s="6" t="s">
        <v>45</v>
      </c>
      <c r="L49" s="10">
        <v>12</v>
      </c>
      <c r="M49" s="10">
        <v>3</v>
      </c>
      <c r="N49" s="6" t="s">
        <v>1583</v>
      </c>
      <c r="O49" s="6" t="s">
        <v>1036</v>
      </c>
      <c r="P49" s="27" t="s">
        <v>42</v>
      </c>
      <c r="Q49" s="7">
        <v>45368</v>
      </c>
      <c r="R49" s="7"/>
      <c r="S49" s="6" t="s">
        <v>45</v>
      </c>
      <c r="T49" s="7"/>
      <c r="U49" s="34">
        <v>45730</v>
      </c>
    </row>
    <row r="50" spans="1:21" x14ac:dyDescent="0.35">
      <c r="A50" s="5" t="s">
        <v>1335</v>
      </c>
      <c r="B50" s="6" t="s">
        <v>489</v>
      </c>
      <c r="C50" s="6" t="s">
        <v>1582</v>
      </c>
      <c r="D50" s="6" t="str">
        <f>VLOOKUP(B:B,'[2]Hakata Island Team'!$E:$G,3,)</f>
        <v>Adarsh Munshi</v>
      </c>
      <c r="E50" s="6" t="str">
        <f>VLOOKUP(B:B,'[2]Hakata Island Team'!$E:$H,4,)</f>
        <v>SPPL Fleet - E</v>
      </c>
      <c r="F50" s="6" t="s">
        <v>1542</v>
      </c>
      <c r="G50" s="6" t="s">
        <v>1035</v>
      </c>
      <c r="H50" s="7">
        <v>46095</v>
      </c>
      <c r="I50" s="6" t="s">
        <v>1336</v>
      </c>
      <c r="J50" s="6" t="s">
        <v>45</v>
      </c>
      <c r="K50" s="6" t="s">
        <v>45</v>
      </c>
      <c r="L50" s="10">
        <v>12</v>
      </c>
      <c r="M50" s="10">
        <v>3</v>
      </c>
      <c r="N50" s="6" t="s">
        <v>1583</v>
      </c>
      <c r="O50" s="6" t="s">
        <v>1036</v>
      </c>
      <c r="P50" s="27" t="s">
        <v>42</v>
      </c>
      <c r="Q50" s="7">
        <v>45368</v>
      </c>
      <c r="R50" s="7"/>
      <c r="S50" s="6" t="s">
        <v>45</v>
      </c>
      <c r="T50" s="7"/>
      <c r="U50" s="34">
        <v>45730</v>
      </c>
    </row>
    <row r="51" spans="1:21" x14ac:dyDescent="0.35">
      <c r="A51" s="5" t="s">
        <v>1328</v>
      </c>
      <c r="B51" s="6" t="s">
        <v>489</v>
      </c>
      <c r="C51" s="6" t="s">
        <v>1582</v>
      </c>
      <c r="D51" s="6" t="str">
        <f>VLOOKUP(B:B,'[2]Hakata Island Team'!$E:$G,3,)</f>
        <v>Adarsh Munshi</v>
      </c>
      <c r="E51" s="6" t="str">
        <f>VLOOKUP(B:B,'[2]Hakata Island Team'!$E:$H,4,)</f>
        <v>SPPL Fleet - E</v>
      </c>
      <c r="F51" s="6" t="s">
        <v>1542</v>
      </c>
      <c r="G51" s="6" t="s">
        <v>1035</v>
      </c>
      <c r="H51" s="7">
        <v>46095</v>
      </c>
      <c r="I51" s="6" t="s">
        <v>1329</v>
      </c>
      <c r="J51" s="6" t="s">
        <v>45</v>
      </c>
      <c r="K51" s="6" t="s">
        <v>45</v>
      </c>
      <c r="L51" s="10">
        <v>12</v>
      </c>
      <c r="M51" s="10">
        <v>3</v>
      </c>
      <c r="N51" s="6" t="s">
        <v>1583</v>
      </c>
      <c r="O51" s="6" t="s">
        <v>1036</v>
      </c>
      <c r="P51" s="27" t="s">
        <v>42</v>
      </c>
      <c r="Q51" s="7">
        <v>45368</v>
      </c>
      <c r="R51" s="7"/>
      <c r="S51" s="6" t="s">
        <v>45</v>
      </c>
      <c r="T51" s="7"/>
      <c r="U51" s="34">
        <v>45730</v>
      </c>
    </row>
    <row r="52" spans="1:21" x14ac:dyDescent="0.35">
      <c r="A52" s="5" t="s">
        <v>1321</v>
      </c>
      <c r="B52" s="6" t="s">
        <v>141</v>
      </c>
      <c r="C52" s="6" t="s">
        <v>1041</v>
      </c>
      <c r="D52" s="6" t="str">
        <f>VLOOKUP(B:B,'[2]Hakata Island Team'!$E:$G,3,)</f>
        <v>Vinoth Kumar R</v>
      </c>
      <c r="E52" s="6" t="str">
        <f>VLOOKUP(B:B,'[2]Hakata Island Team'!$E:$H,4,)</f>
        <v xml:space="preserve">SPPL Fleet - A </v>
      </c>
      <c r="F52" s="6" t="s">
        <v>1542</v>
      </c>
      <c r="G52" s="6" t="s">
        <v>1035</v>
      </c>
      <c r="H52" s="7">
        <v>47119</v>
      </c>
      <c r="I52" s="6" t="s">
        <v>1322</v>
      </c>
      <c r="J52" s="6" t="s">
        <v>45</v>
      </c>
      <c r="K52" s="6" t="s">
        <v>45</v>
      </c>
      <c r="L52" s="10">
        <v>12</v>
      </c>
      <c r="M52" s="10">
        <v>3</v>
      </c>
      <c r="N52" s="6" t="s">
        <v>1584</v>
      </c>
      <c r="O52" s="6" t="s">
        <v>1036</v>
      </c>
      <c r="P52" s="27" t="s">
        <v>42</v>
      </c>
      <c r="Q52" s="7">
        <v>45543</v>
      </c>
      <c r="R52" s="7"/>
      <c r="S52" s="6" t="s">
        <v>45</v>
      </c>
      <c r="T52" s="7"/>
      <c r="U52" s="34">
        <v>44663</v>
      </c>
    </row>
    <row r="53" spans="1:21" x14ac:dyDescent="0.35">
      <c r="A53" s="5" t="s">
        <v>1286</v>
      </c>
      <c r="B53" s="6" t="s">
        <v>141</v>
      </c>
      <c r="C53" s="6" t="s">
        <v>1041</v>
      </c>
      <c r="D53" s="6" t="str">
        <f>VLOOKUP(B:B,'[2]Hakata Island Team'!$E:$G,3,)</f>
        <v>Vinoth Kumar R</v>
      </c>
      <c r="E53" s="6" t="str">
        <f>VLOOKUP(B:B,'[2]Hakata Island Team'!$E:$H,4,)</f>
        <v xml:space="preserve">SPPL Fleet - A </v>
      </c>
      <c r="F53" s="6" t="s">
        <v>1542</v>
      </c>
      <c r="G53" s="6" t="s">
        <v>1035</v>
      </c>
      <c r="H53" s="7">
        <v>47119</v>
      </c>
      <c r="I53" s="6" t="s">
        <v>1288</v>
      </c>
      <c r="J53" s="6" t="s">
        <v>45</v>
      </c>
      <c r="K53" s="6" t="s">
        <v>45</v>
      </c>
      <c r="L53" s="10">
        <v>12</v>
      </c>
      <c r="M53" s="10">
        <v>3</v>
      </c>
      <c r="N53" s="6" t="s">
        <v>1584</v>
      </c>
      <c r="O53" s="6" t="s">
        <v>1036</v>
      </c>
      <c r="P53" s="27" t="s">
        <v>42</v>
      </c>
      <c r="Q53" s="7">
        <v>45543</v>
      </c>
      <c r="R53" s="7"/>
      <c r="S53" s="6" t="s">
        <v>45</v>
      </c>
      <c r="T53" s="7"/>
      <c r="U53" s="34">
        <v>44859</v>
      </c>
    </row>
    <row r="54" spans="1:21" x14ac:dyDescent="0.35">
      <c r="A54" s="5" t="s">
        <v>1324</v>
      </c>
      <c r="B54" s="6" t="s">
        <v>141</v>
      </c>
      <c r="C54" s="6" t="s">
        <v>1041</v>
      </c>
      <c r="D54" s="6" t="str">
        <f>VLOOKUP(B:B,'[2]Hakata Island Team'!$E:$G,3,)</f>
        <v>Vinoth Kumar R</v>
      </c>
      <c r="E54" s="6" t="str">
        <f>VLOOKUP(B:B,'[2]Hakata Island Team'!$E:$H,4,)</f>
        <v xml:space="preserve">SPPL Fleet - A </v>
      </c>
      <c r="F54" s="6" t="s">
        <v>1542</v>
      </c>
      <c r="G54" s="6" t="s">
        <v>1035</v>
      </c>
      <c r="H54" s="7">
        <v>47119</v>
      </c>
      <c r="I54" s="6" t="s">
        <v>1325</v>
      </c>
      <c r="J54" s="6" t="s">
        <v>45</v>
      </c>
      <c r="K54" s="6" t="s">
        <v>45</v>
      </c>
      <c r="L54" s="10">
        <v>12</v>
      </c>
      <c r="M54" s="10">
        <v>3</v>
      </c>
      <c r="N54" s="6" t="s">
        <v>1585</v>
      </c>
      <c r="O54" s="6" t="s">
        <v>1036</v>
      </c>
      <c r="P54" s="27" t="s">
        <v>42</v>
      </c>
      <c r="Q54" s="7">
        <v>45543</v>
      </c>
      <c r="R54" s="7"/>
      <c r="S54" s="6" t="s">
        <v>45</v>
      </c>
      <c r="T54" s="7"/>
      <c r="U54" s="34">
        <v>44679</v>
      </c>
    </row>
    <row r="55" spans="1:21" x14ac:dyDescent="0.35">
      <c r="A55" s="5" t="s">
        <v>1360</v>
      </c>
      <c r="B55" s="6" t="s">
        <v>141</v>
      </c>
      <c r="C55" s="6" t="s">
        <v>1041</v>
      </c>
      <c r="D55" s="6" t="str">
        <f>VLOOKUP(B:B,'[2]Hakata Island Team'!$E:$G,3,)</f>
        <v>Vinoth Kumar R</v>
      </c>
      <c r="E55" s="6" t="str">
        <f>VLOOKUP(B:B,'[2]Hakata Island Team'!$E:$H,4,)</f>
        <v xml:space="preserve">SPPL Fleet - A </v>
      </c>
      <c r="F55" s="6" t="s">
        <v>1542</v>
      </c>
      <c r="G55" s="6" t="s">
        <v>1035</v>
      </c>
      <c r="H55" s="7">
        <v>45908</v>
      </c>
      <c r="I55" s="6" t="s">
        <v>1361</v>
      </c>
      <c r="J55" s="6" t="s">
        <v>45</v>
      </c>
      <c r="K55" s="6" t="s">
        <v>45</v>
      </c>
      <c r="L55" s="10">
        <v>12</v>
      </c>
      <c r="M55" s="10">
        <v>3</v>
      </c>
      <c r="N55" s="6" t="s">
        <v>1584</v>
      </c>
      <c r="O55" s="6" t="s">
        <v>1036</v>
      </c>
      <c r="P55" s="27" t="s">
        <v>42</v>
      </c>
      <c r="Q55" s="7">
        <v>45543</v>
      </c>
      <c r="R55" s="7"/>
      <c r="S55" s="6" t="s">
        <v>45</v>
      </c>
      <c r="T55" s="7"/>
      <c r="U55" s="34">
        <v>44679</v>
      </c>
    </row>
    <row r="56" spans="1:21" x14ac:dyDescent="0.35">
      <c r="A56" s="5" t="s">
        <v>1335</v>
      </c>
      <c r="B56" s="6" t="s">
        <v>141</v>
      </c>
      <c r="C56" s="6" t="s">
        <v>1041</v>
      </c>
      <c r="D56" s="6" t="str">
        <f>VLOOKUP(B:B,'[2]Hakata Island Team'!$E:$G,3,)</f>
        <v>Vinoth Kumar R</v>
      </c>
      <c r="E56" s="6" t="str">
        <f>VLOOKUP(B:B,'[2]Hakata Island Team'!$E:$H,4,)</f>
        <v xml:space="preserve">SPPL Fleet - A </v>
      </c>
      <c r="F56" s="6" t="s">
        <v>1542</v>
      </c>
      <c r="G56" s="6" t="s">
        <v>1035</v>
      </c>
      <c r="H56" s="7">
        <v>47119</v>
      </c>
      <c r="I56" s="6" t="s">
        <v>1336</v>
      </c>
      <c r="J56" s="6" t="s">
        <v>45</v>
      </c>
      <c r="K56" s="6" t="s">
        <v>45</v>
      </c>
      <c r="L56" s="10">
        <v>12</v>
      </c>
      <c r="M56" s="10">
        <v>3</v>
      </c>
      <c r="N56" s="6" t="s">
        <v>1585</v>
      </c>
      <c r="O56" s="6" t="s">
        <v>1036</v>
      </c>
      <c r="P56" s="27" t="s">
        <v>42</v>
      </c>
      <c r="Q56" s="7">
        <v>45543</v>
      </c>
      <c r="R56" s="7"/>
      <c r="S56" s="6" t="s">
        <v>45</v>
      </c>
      <c r="T56" s="7"/>
      <c r="U56" s="34">
        <v>44679</v>
      </c>
    </row>
    <row r="57" spans="1:21" x14ac:dyDescent="0.35">
      <c r="A57" s="5" t="s">
        <v>1328</v>
      </c>
      <c r="B57" s="6" t="s">
        <v>141</v>
      </c>
      <c r="C57" s="6" t="s">
        <v>1041</v>
      </c>
      <c r="D57" s="6" t="str">
        <f>VLOOKUP(B:B,'[2]Hakata Island Team'!$E:$G,3,)</f>
        <v>Vinoth Kumar R</v>
      </c>
      <c r="E57" s="6" t="str">
        <f>VLOOKUP(B:B,'[2]Hakata Island Team'!$E:$H,4,)</f>
        <v xml:space="preserve">SPPL Fleet - A </v>
      </c>
      <c r="F57" s="6" t="s">
        <v>1542</v>
      </c>
      <c r="G57" s="6" t="s">
        <v>1035</v>
      </c>
      <c r="H57" s="7">
        <v>47119</v>
      </c>
      <c r="I57" s="6" t="s">
        <v>1329</v>
      </c>
      <c r="J57" s="6" t="s">
        <v>45</v>
      </c>
      <c r="K57" s="6" t="s">
        <v>45</v>
      </c>
      <c r="L57" s="10">
        <v>12</v>
      </c>
      <c r="M57" s="10">
        <v>3</v>
      </c>
      <c r="N57" s="6" t="s">
        <v>1585</v>
      </c>
      <c r="O57" s="6" t="s">
        <v>1036</v>
      </c>
      <c r="P57" s="27" t="s">
        <v>42</v>
      </c>
      <c r="Q57" s="7">
        <v>45543</v>
      </c>
      <c r="R57" s="7"/>
      <c r="S57" s="6" t="s">
        <v>45</v>
      </c>
      <c r="T57" s="7"/>
      <c r="U57" s="34">
        <v>44679</v>
      </c>
    </row>
    <row r="58" spans="1:21" x14ac:dyDescent="0.35">
      <c r="A58" s="5" t="s">
        <v>1550</v>
      </c>
      <c r="B58" s="6" t="s">
        <v>141</v>
      </c>
      <c r="C58" s="6" t="s">
        <v>1041</v>
      </c>
      <c r="D58" s="6" t="str">
        <f>VLOOKUP(B:B,'[2]Hakata Island Team'!$E:$G,3,)</f>
        <v>Vinoth Kumar R</v>
      </c>
      <c r="E58" s="6" t="str">
        <f>VLOOKUP(B:B,'[2]Hakata Island Team'!$E:$H,4,)</f>
        <v xml:space="preserve">SPPL Fleet - A </v>
      </c>
      <c r="F58" s="6" t="s">
        <v>1586</v>
      </c>
      <c r="G58" s="6" t="s">
        <v>1035</v>
      </c>
      <c r="H58" s="7">
        <v>45908</v>
      </c>
      <c r="I58" s="6" t="s">
        <v>1552</v>
      </c>
      <c r="J58" s="6" t="s">
        <v>45</v>
      </c>
      <c r="K58" s="6" t="s">
        <v>45</v>
      </c>
      <c r="L58" s="10">
        <v>12</v>
      </c>
      <c r="M58" s="10">
        <v>0</v>
      </c>
      <c r="N58" s="6" t="s">
        <v>1537</v>
      </c>
      <c r="O58" s="6" t="s">
        <v>1036</v>
      </c>
      <c r="P58" s="27" t="s">
        <v>42</v>
      </c>
      <c r="Q58" s="7">
        <v>45543</v>
      </c>
      <c r="R58" s="7"/>
      <c r="S58" s="6" t="s">
        <v>45</v>
      </c>
      <c r="T58" s="7"/>
      <c r="U58" s="34">
        <v>44663</v>
      </c>
    </row>
    <row r="59" spans="1:21" x14ac:dyDescent="0.35">
      <c r="A59" s="5" t="s">
        <v>1231</v>
      </c>
      <c r="B59" s="6" t="s">
        <v>141</v>
      </c>
      <c r="C59" s="6" t="s">
        <v>1041</v>
      </c>
      <c r="D59" s="6" t="str">
        <f>VLOOKUP(B:B,'[2]Hakata Island Team'!$E:$G,3,)</f>
        <v>Vinoth Kumar R</v>
      </c>
      <c r="E59" s="6" t="str">
        <f>VLOOKUP(B:B,'[2]Hakata Island Team'!$E:$H,4,)</f>
        <v xml:space="preserve">SPPL Fleet - A </v>
      </c>
      <c r="F59" s="6" t="s">
        <v>1587</v>
      </c>
      <c r="G59" s="6" t="s">
        <v>1035</v>
      </c>
      <c r="H59" s="7">
        <v>45820</v>
      </c>
      <c r="I59" s="6" t="s">
        <v>1232</v>
      </c>
      <c r="J59" s="6" t="s">
        <v>45</v>
      </c>
      <c r="K59" s="6" t="s">
        <v>45</v>
      </c>
      <c r="L59" s="10">
        <v>12</v>
      </c>
      <c r="M59" s="10">
        <v>0</v>
      </c>
      <c r="N59" s="6" t="s">
        <v>1537</v>
      </c>
      <c r="O59" s="6" t="s">
        <v>1036</v>
      </c>
      <c r="P59" s="27" t="s">
        <v>42</v>
      </c>
      <c r="Q59" s="7">
        <v>45809</v>
      </c>
      <c r="R59" s="7"/>
      <c r="S59" s="6" t="s">
        <v>45</v>
      </c>
      <c r="T59" s="7"/>
      <c r="U59" s="34"/>
    </row>
    <row r="60" spans="1:21" x14ac:dyDescent="0.35">
      <c r="A60" s="5" t="s">
        <v>1231</v>
      </c>
      <c r="B60" s="6" t="s">
        <v>141</v>
      </c>
      <c r="C60" s="6" t="s">
        <v>1041</v>
      </c>
      <c r="D60" s="6" t="str">
        <f>VLOOKUP(B:B,'[2]Hakata Island Team'!$E:$G,3,)</f>
        <v>Vinoth Kumar R</v>
      </c>
      <c r="E60" s="6" t="str">
        <f>VLOOKUP(B:B,'[2]Hakata Island Team'!$E:$H,4,)</f>
        <v xml:space="preserve">SPPL Fleet - A </v>
      </c>
      <c r="F60" s="6" t="s">
        <v>1588</v>
      </c>
      <c r="G60" s="6" t="s">
        <v>1035</v>
      </c>
      <c r="H60" s="7">
        <v>45820</v>
      </c>
      <c r="I60" s="6" t="s">
        <v>1232</v>
      </c>
      <c r="J60" s="6" t="s">
        <v>45</v>
      </c>
      <c r="K60" s="6" t="s">
        <v>45</v>
      </c>
      <c r="L60" s="10">
        <v>12</v>
      </c>
      <c r="M60" s="10">
        <v>0</v>
      </c>
      <c r="N60" s="6" t="s">
        <v>1537</v>
      </c>
      <c r="O60" s="6" t="s">
        <v>1036</v>
      </c>
      <c r="P60" s="27" t="s">
        <v>42</v>
      </c>
      <c r="Q60" s="7">
        <v>45809</v>
      </c>
      <c r="R60" s="7"/>
      <c r="S60" s="6" t="s">
        <v>45</v>
      </c>
      <c r="T60" s="7"/>
      <c r="U60" s="34"/>
    </row>
    <row r="61" spans="1:21" x14ac:dyDescent="0.35">
      <c r="A61" s="5" t="s">
        <v>1350</v>
      </c>
      <c r="B61" s="6" t="s">
        <v>141</v>
      </c>
      <c r="C61" s="6" t="s">
        <v>1041</v>
      </c>
      <c r="D61" s="6" t="str">
        <f>VLOOKUP(B:B,'[2]Hakata Island Team'!$E:$G,3,)</f>
        <v>Vinoth Kumar R</v>
      </c>
      <c r="E61" s="6" t="str">
        <f>VLOOKUP(B:B,'[2]Hakata Island Team'!$E:$H,4,)</f>
        <v xml:space="preserve">SPPL Fleet - A </v>
      </c>
      <c r="F61" s="6" t="s">
        <v>1589</v>
      </c>
      <c r="G61" s="6" t="s">
        <v>1535</v>
      </c>
      <c r="H61" s="7">
        <v>45906</v>
      </c>
      <c r="I61" s="6" t="s">
        <v>1351</v>
      </c>
      <c r="J61" s="6" t="s">
        <v>45</v>
      </c>
      <c r="K61" s="6" t="s">
        <v>45</v>
      </c>
      <c r="L61" s="10">
        <v>12</v>
      </c>
      <c r="M61" s="10">
        <v>0</v>
      </c>
      <c r="N61" s="6" t="s">
        <v>1537</v>
      </c>
      <c r="O61" s="6" t="s">
        <v>1036</v>
      </c>
      <c r="P61" s="27" t="s">
        <v>42</v>
      </c>
      <c r="Q61" s="7">
        <v>45541</v>
      </c>
      <c r="R61" s="7"/>
      <c r="S61" s="6" t="s">
        <v>45</v>
      </c>
      <c r="T61" s="7"/>
      <c r="U61" s="34"/>
    </row>
    <row r="62" spans="1:21" x14ac:dyDescent="0.35">
      <c r="A62" s="5" t="s">
        <v>1315</v>
      </c>
      <c r="B62" s="6" t="s">
        <v>1390</v>
      </c>
      <c r="C62" s="6" t="s">
        <v>1391</v>
      </c>
      <c r="D62" s="6" t="str">
        <f>VLOOKUP(B:B,'[2]Hakata Island Team'!$E:$G,3,)</f>
        <v>Santosh Kulkarni</v>
      </c>
      <c r="E62" s="6" t="str">
        <f>VLOOKUP(B:B,'[2]Hakata Island Team'!$E:$H,4,)</f>
        <v>SPPL Fleet - F</v>
      </c>
      <c r="F62" s="6" t="s">
        <v>45</v>
      </c>
      <c r="G62" s="6" t="s">
        <v>45</v>
      </c>
      <c r="H62" s="7">
        <v>45410</v>
      </c>
      <c r="I62" s="6" t="s">
        <v>1316</v>
      </c>
      <c r="J62" s="6" t="s">
        <v>45</v>
      </c>
      <c r="K62" s="6" t="s">
        <v>45</v>
      </c>
      <c r="L62" s="10">
        <v>0</v>
      </c>
      <c r="M62" s="10">
        <v>0</v>
      </c>
      <c r="N62" s="6" t="s">
        <v>1537</v>
      </c>
      <c r="O62" s="6" t="s">
        <v>1036</v>
      </c>
      <c r="P62" s="27" t="s">
        <v>42</v>
      </c>
      <c r="Q62" s="7">
        <v>46130</v>
      </c>
      <c r="R62" s="7"/>
      <c r="S62" s="6" t="s">
        <v>45</v>
      </c>
      <c r="T62" s="7"/>
      <c r="U62" s="34">
        <v>45044</v>
      </c>
    </row>
    <row r="63" spans="1:21" x14ac:dyDescent="0.35">
      <c r="A63" s="5" t="s">
        <v>1309</v>
      </c>
      <c r="B63" s="6" t="s">
        <v>1390</v>
      </c>
      <c r="C63" s="6" t="s">
        <v>1391</v>
      </c>
      <c r="D63" s="6" t="str">
        <f>VLOOKUP(B:B,'[2]Hakata Island Team'!$E:$G,3,)</f>
        <v>Santosh Kulkarni</v>
      </c>
      <c r="E63" s="6" t="str">
        <f>VLOOKUP(B:B,'[2]Hakata Island Team'!$E:$H,4,)</f>
        <v>SPPL Fleet - F</v>
      </c>
      <c r="F63" s="6" t="s">
        <v>45</v>
      </c>
      <c r="G63" s="6" t="s">
        <v>45</v>
      </c>
      <c r="H63" s="7">
        <v>44015</v>
      </c>
      <c r="I63" s="6" t="s">
        <v>1310</v>
      </c>
      <c r="J63" s="6" t="s">
        <v>45</v>
      </c>
      <c r="K63" s="6" t="s">
        <v>45</v>
      </c>
      <c r="L63" s="10">
        <v>0</v>
      </c>
      <c r="M63" s="10">
        <v>0</v>
      </c>
      <c r="N63" s="6" t="s">
        <v>1537</v>
      </c>
      <c r="O63" s="6" t="s">
        <v>1036</v>
      </c>
      <c r="P63" s="27" t="s">
        <v>42</v>
      </c>
      <c r="Q63" s="7">
        <v>45441</v>
      </c>
      <c r="R63" s="7"/>
      <c r="S63" s="6" t="s">
        <v>45</v>
      </c>
      <c r="T63" s="7"/>
      <c r="U63" s="34">
        <v>43649</v>
      </c>
    </row>
    <row r="64" spans="1:21" x14ac:dyDescent="0.35">
      <c r="A64" s="5" t="s">
        <v>1321</v>
      </c>
      <c r="B64" s="6" t="s">
        <v>620</v>
      </c>
      <c r="C64" s="6" t="s">
        <v>1590</v>
      </c>
      <c r="D64" s="6" t="str">
        <f>VLOOKUP(B:B,'[2]Hakata Island Team'!$E:$G,3,)</f>
        <v>Santosh Kulkarni</v>
      </c>
      <c r="E64" s="6" t="str">
        <f>VLOOKUP(B:B,'[2]Hakata Island Team'!$E:$H,4,)</f>
        <v>SPPL Fleet - F</v>
      </c>
      <c r="F64" s="6" t="s">
        <v>1542</v>
      </c>
      <c r="G64" s="6" t="s">
        <v>1035</v>
      </c>
      <c r="H64" s="7">
        <v>45553</v>
      </c>
      <c r="I64" s="6" t="s">
        <v>1322</v>
      </c>
      <c r="J64" s="6" t="s">
        <v>45</v>
      </c>
      <c r="K64" s="6" t="s">
        <v>45</v>
      </c>
      <c r="L64" s="10">
        <v>12</v>
      </c>
      <c r="M64" s="10">
        <v>3</v>
      </c>
      <c r="N64" s="6" t="s">
        <v>1591</v>
      </c>
      <c r="O64" s="6" t="s">
        <v>1036</v>
      </c>
      <c r="P64" s="27" t="s">
        <v>42</v>
      </c>
      <c r="Q64" s="7">
        <v>45876</v>
      </c>
      <c r="R64" s="7"/>
      <c r="S64" s="6" t="s">
        <v>45</v>
      </c>
      <c r="T64" s="7"/>
      <c r="U64" s="34">
        <v>45143</v>
      </c>
    </row>
    <row r="65" spans="1:21" x14ac:dyDescent="0.35">
      <c r="A65" s="5" t="s">
        <v>1306</v>
      </c>
      <c r="B65" s="6" t="s">
        <v>38</v>
      </c>
      <c r="C65" s="6" t="s">
        <v>803</v>
      </c>
      <c r="D65" s="6" t="str">
        <f>VLOOKUP(B:B,'[2]Hakata Island Team'!$E:$G,3,)</f>
        <v>Karthik Nair</v>
      </c>
      <c r="E65" s="6" t="str">
        <f>VLOOKUP(B:B,'[2]Hakata Island Team'!$E:$H,4,)</f>
        <v>SPPL Fleet - B</v>
      </c>
      <c r="F65" s="6" t="s">
        <v>45</v>
      </c>
      <c r="G65" s="6" t="s">
        <v>45</v>
      </c>
      <c r="H65" s="7">
        <v>45824</v>
      </c>
      <c r="I65" s="6" t="s">
        <v>1307</v>
      </c>
      <c r="J65" s="6" t="s">
        <v>45</v>
      </c>
      <c r="K65" s="6" t="s">
        <v>45</v>
      </c>
      <c r="L65" s="10">
        <v>0</v>
      </c>
      <c r="M65" s="10">
        <v>0</v>
      </c>
      <c r="N65" s="6" t="s">
        <v>1537</v>
      </c>
      <c r="O65" s="6" t="s">
        <v>1036</v>
      </c>
      <c r="P65" s="27" t="s">
        <v>42</v>
      </c>
      <c r="Q65" s="7">
        <v>45806</v>
      </c>
      <c r="R65" s="7"/>
      <c r="S65" s="6" t="s">
        <v>45</v>
      </c>
      <c r="T65" s="7"/>
      <c r="U65" s="34">
        <v>44942</v>
      </c>
    </row>
    <row r="66" spans="1:21" x14ac:dyDescent="0.35">
      <c r="A66" s="5" t="s">
        <v>1252</v>
      </c>
      <c r="B66" s="6" t="s">
        <v>38</v>
      </c>
      <c r="C66" s="6" t="s">
        <v>803</v>
      </c>
      <c r="D66" s="6" t="str">
        <f>VLOOKUP(B:B,'[2]Hakata Island Team'!$E:$G,3,)</f>
        <v>Karthik Nair</v>
      </c>
      <c r="E66" s="6" t="str">
        <f>VLOOKUP(B:B,'[2]Hakata Island Team'!$E:$H,4,)</f>
        <v>SPPL Fleet - B</v>
      </c>
      <c r="F66" s="6" t="s">
        <v>45</v>
      </c>
      <c r="G66" s="6" t="s">
        <v>45</v>
      </c>
      <c r="H66" s="7">
        <v>45658</v>
      </c>
      <c r="I66" s="6" t="s">
        <v>1253</v>
      </c>
      <c r="J66" s="6" t="s">
        <v>45</v>
      </c>
      <c r="K66" s="6" t="s">
        <v>45</v>
      </c>
      <c r="L66" s="10">
        <v>0</v>
      </c>
      <c r="M66" s="10">
        <v>0</v>
      </c>
      <c r="N66" s="6" t="s">
        <v>1537</v>
      </c>
      <c r="O66" s="6" t="s">
        <v>1036</v>
      </c>
      <c r="P66" s="27" t="s">
        <v>42</v>
      </c>
      <c r="Q66" s="7">
        <v>45806</v>
      </c>
      <c r="R66" s="7"/>
      <c r="S66" s="6" t="s">
        <v>45</v>
      </c>
      <c r="T66" s="7"/>
      <c r="U66" s="34">
        <v>44942</v>
      </c>
    </row>
    <row r="67" spans="1:21" x14ac:dyDescent="0.35">
      <c r="A67" s="5" t="s">
        <v>1550</v>
      </c>
      <c r="B67" s="6" t="s">
        <v>38</v>
      </c>
      <c r="C67" s="6" t="s">
        <v>803</v>
      </c>
      <c r="D67" s="6" t="str">
        <f>VLOOKUP(B:B,'[2]Hakata Island Team'!$E:$G,3,)</f>
        <v>Karthik Nair</v>
      </c>
      <c r="E67" s="6" t="str">
        <f>VLOOKUP(B:B,'[2]Hakata Island Team'!$E:$H,4,)</f>
        <v>SPPL Fleet - B</v>
      </c>
      <c r="F67" s="6" t="s">
        <v>1586</v>
      </c>
      <c r="G67" s="6" t="s">
        <v>1035</v>
      </c>
      <c r="H67" s="7">
        <v>45597</v>
      </c>
      <c r="I67" s="6" t="s">
        <v>1552</v>
      </c>
      <c r="J67" s="6" t="s">
        <v>45</v>
      </c>
      <c r="K67" s="6" t="s">
        <v>45</v>
      </c>
      <c r="L67" s="10">
        <v>12</v>
      </c>
      <c r="M67" s="10">
        <v>0</v>
      </c>
      <c r="N67" s="6" t="s">
        <v>1537</v>
      </c>
      <c r="O67" s="6" t="s">
        <v>1036</v>
      </c>
      <c r="P67" s="27" t="s">
        <v>42</v>
      </c>
      <c r="Q67" s="7">
        <v>45583</v>
      </c>
      <c r="R67" s="7"/>
      <c r="S67" s="6" t="s">
        <v>45</v>
      </c>
      <c r="T67" s="7"/>
      <c r="U67" s="34">
        <v>45231</v>
      </c>
    </row>
    <row r="68" spans="1:21" x14ac:dyDescent="0.35">
      <c r="A68" s="5" t="s">
        <v>1550</v>
      </c>
      <c r="B68" s="6" t="s">
        <v>67</v>
      </c>
      <c r="C68" s="6" t="s">
        <v>1033</v>
      </c>
      <c r="D68" s="6" t="str">
        <f>VLOOKUP(B:B,'[2]Hakata Island Team'!$E:$G,3,)</f>
        <v>Vinoth Kumar R</v>
      </c>
      <c r="E68" s="6" t="str">
        <f>VLOOKUP(B:B,'[2]Hakata Island Team'!$E:$H,4,)</f>
        <v xml:space="preserve">SPPL Fleet - A </v>
      </c>
      <c r="F68" s="6" t="s">
        <v>1586</v>
      </c>
      <c r="G68" s="6" t="s">
        <v>1035</v>
      </c>
      <c r="H68" s="7">
        <v>46113</v>
      </c>
      <c r="I68" s="6" t="s">
        <v>1552</v>
      </c>
      <c r="J68" s="6" t="s">
        <v>45</v>
      </c>
      <c r="K68" s="6" t="s">
        <v>45</v>
      </c>
      <c r="L68" s="10">
        <v>12</v>
      </c>
      <c r="M68" s="10">
        <v>0</v>
      </c>
      <c r="N68" s="6" t="s">
        <v>1537</v>
      </c>
      <c r="O68" s="6" t="s">
        <v>1036</v>
      </c>
      <c r="P68" s="27" t="s">
        <v>42</v>
      </c>
      <c r="Q68" s="7">
        <v>45421</v>
      </c>
      <c r="R68" s="7"/>
      <c r="S68" s="6" t="s">
        <v>45</v>
      </c>
      <c r="T68" s="7"/>
      <c r="U68" s="34">
        <v>45748</v>
      </c>
    </row>
    <row r="69" spans="1:21" x14ac:dyDescent="0.35">
      <c r="A69" s="5" t="s">
        <v>1324</v>
      </c>
      <c r="B69" s="6" t="s">
        <v>494</v>
      </c>
      <c r="C69" s="6" t="s">
        <v>1592</v>
      </c>
      <c r="D69" s="6" t="str">
        <f>VLOOKUP(B:B,'[2]Hakata Island Team'!$E:$G,3,)</f>
        <v>Adarsh Munshi</v>
      </c>
      <c r="E69" s="6" t="str">
        <f>VLOOKUP(B:B,'[2]Hakata Island Team'!$E:$H,4,)</f>
        <v>SPPL Fleet - E</v>
      </c>
      <c r="F69" s="6" t="s">
        <v>1542</v>
      </c>
      <c r="G69" s="6" t="s">
        <v>1035</v>
      </c>
      <c r="H69" s="7">
        <v>46070</v>
      </c>
      <c r="I69" s="6" t="s">
        <v>1325</v>
      </c>
      <c r="J69" s="6" t="s">
        <v>45</v>
      </c>
      <c r="K69" s="6" t="s">
        <v>45</v>
      </c>
      <c r="L69" s="10">
        <v>12</v>
      </c>
      <c r="M69" s="10">
        <v>3</v>
      </c>
      <c r="N69" s="6" t="s">
        <v>1593</v>
      </c>
      <c r="O69" s="6" t="s">
        <v>1036</v>
      </c>
      <c r="P69" s="27" t="s">
        <v>42</v>
      </c>
      <c r="Q69" s="7">
        <v>45686</v>
      </c>
      <c r="R69" s="7"/>
      <c r="S69" s="6" t="s">
        <v>45</v>
      </c>
      <c r="T69" s="7"/>
      <c r="U69" s="34">
        <v>45687</v>
      </c>
    </row>
    <row r="70" spans="1:21" x14ac:dyDescent="0.35">
      <c r="A70" s="5" t="s">
        <v>1335</v>
      </c>
      <c r="B70" s="6" t="s">
        <v>1069</v>
      </c>
      <c r="C70" s="6" t="s">
        <v>1070</v>
      </c>
      <c r="D70" s="6" t="str">
        <f>VLOOKUP(B:B,'[2]Hakata Island Team'!$E:$G,3,)</f>
        <v>Manikandan Ayyappan</v>
      </c>
      <c r="E70" s="6" t="str">
        <f>VLOOKUP(B:B,'[2]Hakata Island Team'!$E:$H,4,)</f>
        <v>SPPL Fleet - G</v>
      </c>
      <c r="F70" s="6" t="s">
        <v>1542</v>
      </c>
      <c r="G70" s="6" t="s">
        <v>1035</v>
      </c>
      <c r="H70" s="7">
        <v>46023</v>
      </c>
      <c r="I70" s="6" t="s">
        <v>1336</v>
      </c>
      <c r="J70" s="6" t="s">
        <v>45</v>
      </c>
      <c r="K70" s="6" t="s">
        <v>45</v>
      </c>
      <c r="L70" s="10">
        <v>12</v>
      </c>
      <c r="M70" s="10">
        <v>3</v>
      </c>
      <c r="N70" s="6" t="s">
        <v>1547</v>
      </c>
      <c r="O70" s="6" t="s">
        <v>1036</v>
      </c>
      <c r="P70" s="27" t="s">
        <v>42</v>
      </c>
      <c r="Q70" s="7">
        <v>45826</v>
      </c>
      <c r="R70" s="7"/>
      <c r="S70" s="6" t="s">
        <v>45</v>
      </c>
      <c r="T70" s="7"/>
      <c r="U70" s="34">
        <v>45826</v>
      </c>
    </row>
    <row r="71" spans="1:21" x14ac:dyDescent="0.35">
      <c r="A71" s="5" t="s">
        <v>1328</v>
      </c>
      <c r="B71" s="6" t="s">
        <v>1069</v>
      </c>
      <c r="C71" s="6" t="s">
        <v>1070</v>
      </c>
      <c r="D71" s="6" t="str">
        <f>VLOOKUP(B:B,'[2]Hakata Island Team'!$E:$G,3,)</f>
        <v>Manikandan Ayyappan</v>
      </c>
      <c r="E71" s="6" t="str">
        <f>VLOOKUP(B:B,'[2]Hakata Island Team'!$E:$H,4,)</f>
        <v>SPPL Fleet - G</v>
      </c>
      <c r="F71" s="6" t="s">
        <v>1542</v>
      </c>
      <c r="G71" s="6" t="s">
        <v>1035</v>
      </c>
      <c r="H71" s="7">
        <v>46023</v>
      </c>
      <c r="I71" s="6" t="s">
        <v>1329</v>
      </c>
      <c r="J71" s="6" t="s">
        <v>45</v>
      </c>
      <c r="K71" s="6" t="s">
        <v>45</v>
      </c>
      <c r="L71" s="10">
        <v>12</v>
      </c>
      <c r="M71" s="10">
        <v>3</v>
      </c>
      <c r="N71" s="6" t="s">
        <v>1547</v>
      </c>
      <c r="O71" s="6" t="s">
        <v>1036</v>
      </c>
      <c r="P71" s="27" t="s">
        <v>42</v>
      </c>
      <c r="Q71" s="7">
        <v>45826</v>
      </c>
      <c r="R71" s="7"/>
      <c r="S71" s="6" t="s">
        <v>45</v>
      </c>
      <c r="T71" s="7"/>
      <c r="U71" s="34">
        <v>45826</v>
      </c>
    </row>
    <row r="72" spans="1:21" x14ac:dyDescent="0.35">
      <c r="A72" s="5" t="s">
        <v>1297</v>
      </c>
      <c r="B72" s="6" t="s">
        <v>1069</v>
      </c>
      <c r="C72" s="6" t="s">
        <v>1070</v>
      </c>
      <c r="D72" s="6" t="str">
        <f>VLOOKUP(B:B,'[2]Hakata Island Team'!$E:$G,3,)</f>
        <v>Manikandan Ayyappan</v>
      </c>
      <c r="E72" s="6" t="str">
        <f>VLOOKUP(B:B,'[2]Hakata Island Team'!$E:$H,4,)</f>
        <v>SPPL Fleet - G</v>
      </c>
      <c r="F72" s="6" t="s">
        <v>1542</v>
      </c>
      <c r="G72" s="6" t="s">
        <v>1035</v>
      </c>
      <c r="H72" s="7">
        <v>46037</v>
      </c>
      <c r="I72" s="6" t="s">
        <v>1298</v>
      </c>
      <c r="J72" s="6" t="s">
        <v>45</v>
      </c>
      <c r="K72" s="6" t="s">
        <v>45</v>
      </c>
      <c r="L72" s="10">
        <v>12</v>
      </c>
      <c r="M72" s="10">
        <v>3</v>
      </c>
      <c r="N72" s="6" t="s">
        <v>1594</v>
      </c>
      <c r="O72" s="6" t="s">
        <v>1036</v>
      </c>
      <c r="P72" s="27" t="s">
        <v>42</v>
      </c>
      <c r="Q72" s="7">
        <v>45826</v>
      </c>
      <c r="R72" s="7"/>
      <c r="S72" s="6" t="s">
        <v>45</v>
      </c>
      <c r="T72" s="7"/>
      <c r="U72" s="34">
        <v>45826</v>
      </c>
    </row>
    <row r="73" spans="1:21" x14ac:dyDescent="0.35">
      <c r="A73" s="5" t="s">
        <v>1309</v>
      </c>
      <c r="B73" s="6" t="s">
        <v>1069</v>
      </c>
      <c r="C73" s="6" t="s">
        <v>1070</v>
      </c>
      <c r="D73" s="6" t="str">
        <f>VLOOKUP(B:B,'[2]Hakata Island Team'!$E:$G,3,)</f>
        <v>Manikandan Ayyappan</v>
      </c>
      <c r="E73" s="6" t="str">
        <f>VLOOKUP(B:B,'[2]Hakata Island Team'!$E:$H,4,)</f>
        <v>SPPL Fleet - G</v>
      </c>
      <c r="F73" s="6" t="s">
        <v>1542</v>
      </c>
      <c r="G73" s="6" t="s">
        <v>1035</v>
      </c>
      <c r="H73" s="7">
        <v>46023</v>
      </c>
      <c r="I73" s="6" t="s">
        <v>1310</v>
      </c>
      <c r="J73" s="6" t="s">
        <v>45</v>
      </c>
      <c r="K73" s="6" t="s">
        <v>45</v>
      </c>
      <c r="L73" s="10">
        <v>12</v>
      </c>
      <c r="M73" s="10">
        <v>3</v>
      </c>
      <c r="N73" s="6" t="s">
        <v>1547</v>
      </c>
      <c r="O73" s="6" t="s">
        <v>1036</v>
      </c>
      <c r="P73" s="27" t="s">
        <v>42</v>
      </c>
      <c r="Q73" s="7">
        <v>45826</v>
      </c>
      <c r="R73" s="7"/>
      <c r="S73" s="6" t="s">
        <v>45</v>
      </c>
      <c r="T73" s="7"/>
      <c r="U73" s="34">
        <v>45826</v>
      </c>
    </row>
    <row r="74" spans="1:21" x14ac:dyDescent="0.35">
      <c r="A74" s="5" t="s">
        <v>1548</v>
      </c>
      <c r="B74" s="6" t="s">
        <v>1069</v>
      </c>
      <c r="C74" s="6" t="s">
        <v>1070</v>
      </c>
      <c r="D74" s="6" t="str">
        <f>VLOOKUP(B:B,'[2]Hakata Island Team'!$E:$G,3,)</f>
        <v>Manikandan Ayyappan</v>
      </c>
      <c r="E74" s="6" t="str">
        <f>VLOOKUP(B:B,'[2]Hakata Island Team'!$E:$H,4,)</f>
        <v>SPPL Fleet - G</v>
      </c>
      <c r="F74" s="6" t="s">
        <v>1542</v>
      </c>
      <c r="G74" s="6" t="s">
        <v>1035</v>
      </c>
      <c r="H74" s="7">
        <v>46023</v>
      </c>
      <c r="I74" s="6" t="s">
        <v>1549</v>
      </c>
      <c r="J74" s="6" t="s">
        <v>45</v>
      </c>
      <c r="K74" s="6" t="s">
        <v>45</v>
      </c>
      <c r="L74" s="10">
        <v>12</v>
      </c>
      <c r="M74" s="10">
        <v>3</v>
      </c>
      <c r="N74" s="6" t="s">
        <v>1547</v>
      </c>
      <c r="O74" s="6" t="s">
        <v>1036</v>
      </c>
      <c r="P74" s="27" t="s">
        <v>42</v>
      </c>
      <c r="Q74" s="7">
        <v>45826</v>
      </c>
      <c r="R74" s="7"/>
      <c r="S74" s="6" t="s">
        <v>45</v>
      </c>
      <c r="T74" s="7"/>
      <c r="U74" s="34">
        <v>45826</v>
      </c>
    </row>
    <row r="75" spans="1:21" x14ac:dyDescent="0.35">
      <c r="A75" s="5" t="s">
        <v>1350</v>
      </c>
      <c r="B75" s="6" t="s">
        <v>1069</v>
      </c>
      <c r="C75" s="6" t="s">
        <v>1070</v>
      </c>
      <c r="D75" s="6" t="str">
        <f>VLOOKUP(B:B,'[2]Hakata Island Team'!$E:$G,3,)</f>
        <v>Manikandan Ayyappan</v>
      </c>
      <c r="E75" s="6" t="str">
        <f>VLOOKUP(B:B,'[2]Hakata Island Team'!$E:$H,4,)</f>
        <v>SPPL Fleet - G</v>
      </c>
      <c r="F75" s="6" t="s">
        <v>1589</v>
      </c>
      <c r="G75" s="6" t="s">
        <v>1535</v>
      </c>
      <c r="H75" s="7">
        <v>45315</v>
      </c>
      <c r="I75" s="6" t="s">
        <v>1351</v>
      </c>
      <c r="J75" s="6" t="s">
        <v>45</v>
      </c>
      <c r="K75" s="6" t="s">
        <v>45</v>
      </c>
      <c r="L75" s="10">
        <v>12</v>
      </c>
      <c r="M75" s="10">
        <v>0</v>
      </c>
      <c r="N75" s="6" t="s">
        <v>1537</v>
      </c>
      <c r="O75" s="6" t="s">
        <v>1036</v>
      </c>
      <c r="P75" s="27" t="s">
        <v>42</v>
      </c>
      <c r="Q75" s="7">
        <v>44949</v>
      </c>
      <c r="R75" s="7"/>
      <c r="S75" s="6" t="s">
        <v>45</v>
      </c>
      <c r="T75" s="7"/>
      <c r="U75" s="34">
        <v>44950</v>
      </c>
    </row>
    <row r="76" spans="1:21" x14ac:dyDescent="0.35">
      <c r="A76" s="5" t="s">
        <v>1297</v>
      </c>
      <c r="B76" s="6" t="s">
        <v>1595</v>
      </c>
      <c r="C76" s="6" t="s">
        <v>1596</v>
      </c>
      <c r="D76" s="6" t="str">
        <f>VLOOKUP(B:B,'[2]Hakata Island Team'!$E:$G,3,)</f>
        <v>Manikandan Ayyappan</v>
      </c>
      <c r="E76" s="6" t="str">
        <f>VLOOKUP(B:B,'[2]Hakata Island Team'!$E:$H,4,)</f>
        <v>SPPL Fleet - G</v>
      </c>
      <c r="F76" s="6" t="s">
        <v>1542</v>
      </c>
      <c r="G76" s="6" t="s">
        <v>1035</v>
      </c>
      <c r="H76" s="7">
        <v>45946</v>
      </c>
      <c r="I76" s="6" t="s">
        <v>1298</v>
      </c>
      <c r="J76" s="6" t="s">
        <v>1554</v>
      </c>
      <c r="K76" s="6" t="s">
        <v>1554</v>
      </c>
      <c r="L76" s="10">
        <v>12</v>
      </c>
      <c r="M76" s="10">
        <v>3</v>
      </c>
      <c r="N76" s="6" t="s">
        <v>1597</v>
      </c>
      <c r="O76" s="6" t="s">
        <v>1036</v>
      </c>
      <c r="P76" s="27" t="s">
        <v>42</v>
      </c>
      <c r="Q76" s="7">
        <v>45887</v>
      </c>
      <c r="R76" s="7"/>
      <c r="S76" s="6" t="s">
        <v>1598</v>
      </c>
      <c r="T76" s="7"/>
      <c r="U76" s="34">
        <v>45624</v>
      </c>
    </row>
    <row r="77" spans="1:21" x14ac:dyDescent="0.35">
      <c r="A77" s="5" t="s">
        <v>1309</v>
      </c>
      <c r="B77" s="6" t="s">
        <v>777</v>
      </c>
      <c r="C77" s="6" t="s">
        <v>778</v>
      </c>
      <c r="D77" s="6" t="str">
        <f>VLOOKUP(B:B,'[2]Hakata Island Team'!$E:$G,3,)</f>
        <v>Saravana Kumar Sundar</v>
      </c>
      <c r="E77" s="6" t="str">
        <f>VLOOKUP(B:B,'[2]Hakata Island Team'!$E:$H,4,)</f>
        <v xml:space="preserve">SPPL Fleet - A </v>
      </c>
      <c r="F77" s="6" t="s">
        <v>1542</v>
      </c>
      <c r="G77" s="6" t="s">
        <v>1035</v>
      </c>
      <c r="H77" s="7">
        <v>44197</v>
      </c>
      <c r="I77" s="6" t="s">
        <v>1310</v>
      </c>
      <c r="J77" s="6" t="s">
        <v>1599</v>
      </c>
      <c r="K77" s="6" t="s">
        <v>1600</v>
      </c>
      <c r="L77" s="10">
        <v>12</v>
      </c>
      <c r="M77" s="10">
        <v>3</v>
      </c>
      <c r="N77" s="6" t="s">
        <v>1601</v>
      </c>
      <c r="O77" s="6" t="s">
        <v>1602</v>
      </c>
      <c r="P77" s="27" t="s">
        <v>42</v>
      </c>
      <c r="Q77" s="7">
        <v>45446</v>
      </c>
      <c r="R77" s="7"/>
      <c r="S77" s="6" t="s">
        <v>45</v>
      </c>
      <c r="T77" s="7">
        <v>46046</v>
      </c>
      <c r="U77" s="34">
        <v>43959</v>
      </c>
    </row>
    <row r="78" spans="1:21" x14ac:dyDescent="0.35">
      <c r="A78" s="5" t="s">
        <v>1309</v>
      </c>
      <c r="B78" s="6" t="s">
        <v>777</v>
      </c>
      <c r="C78" s="6" t="s">
        <v>778</v>
      </c>
      <c r="D78" s="6" t="str">
        <f>VLOOKUP(B:B,'[2]Hakata Island Team'!$E:$G,3,)</f>
        <v>Saravana Kumar Sundar</v>
      </c>
      <c r="E78" s="6" t="str">
        <f>VLOOKUP(B:B,'[2]Hakata Island Team'!$E:$H,4,)</f>
        <v xml:space="preserve">SPPL Fleet - A </v>
      </c>
      <c r="F78" s="6" t="s">
        <v>1539</v>
      </c>
      <c r="G78" s="6" t="s">
        <v>1433</v>
      </c>
      <c r="H78" s="7">
        <v>45292</v>
      </c>
      <c r="I78" s="6" t="s">
        <v>1310</v>
      </c>
      <c r="J78" s="6" t="s">
        <v>45</v>
      </c>
      <c r="K78" s="6" t="s">
        <v>45</v>
      </c>
      <c r="L78" s="10">
        <v>29</v>
      </c>
      <c r="M78" s="10">
        <v>9</v>
      </c>
      <c r="N78" s="6" t="s">
        <v>1603</v>
      </c>
      <c r="O78" s="6" t="s">
        <v>1125</v>
      </c>
      <c r="P78" s="27" t="s">
        <v>42</v>
      </c>
      <c r="Q78" s="7">
        <v>45446</v>
      </c>
      <c r="R78" s="7"/>
      <c r="S78" s="6" t="s">
        <v>45</v>
      </c>
      <c r="T78" s="7"/>
      <c r="U78" s="34">
        <v>44453</v>
      </c>
    </row>
    <row r="79" spans="1:21" x14ac:dyDescent="0.35">
      <c r="A79" s="5" t="s">
        <v>1309</v>
      </c>
      <c r="B79" s="6" t="s">
        <v>777</v>
      </c>
      <c r="C79" s="6" t="s">
        <v>778</v>
      </c>
      <c r="D79" s="6" t="str">
        <f>VLOOKUP(B:B,'[2]Hakata Island Team'!$E:$G,3,)</f>
        <v>Saravana Kumar Sundar</v>
      </c>
      <c r="E79" s="6" t="str">
        <f>VLOOKUP(B:B,'[2]Hakata Island Team'!$E:$H,4,)</f>
        <v xml:space="preserve">SPPL Fleet - A </v>
      </c>
      <c r="F79" s="6" t="s">
        <v>1570</v>
      </c>
      <c r="G79" s="6" t="s">
        <v>1433</v>
      </c>
      <c r="H79" s="7">
        <v>45292</v>
      </c>
      <c r="I79" s="6" t="s">
        <v>1310</v>
      </c>
      <c r="J79" s="6" t="s">
        <v>45</v>
      </c>
      <c r="K79" s="6" t="s">
        <v>45</v>
      </c>
      <c r="L79" s="10">
        <v>30</v>
      </c>
      <c r="M79" s="10">
        <v>9</v>
      </c>
      <c r="N79" s="6" t="s">
        <v>1603</v>
      </c>
      <c r="O79" s="6" t="s">
        <v>1125</v>
      </c>
      <c r="P79" s="27" t="s">
        <v>42</v>
      </c>
      <c r="Q79" s="7">
        <v>45446</v>
      </c>
      <c r="R79" s="7"/>
      <c r="S79" s="6" t="s">
        <v>45</v>
      </c>
      <c r="T79" s="7"/>
      <c r="U79" s="34">
        <v>44453</v>
      </c>
    </row>
    <row r="80" spans="1:21" x14ac:dyDescent="0.35">
      <c r="A80" s="5" t="s">
        <v>1309</v>
      </c>
      <c r="B80" s="6" t="s">
        <v>67</v>
      </c>
      <c r="C80" s="6" t="s">
        <v>1033</v>
      </c>
      <c r="D80" s="6" t="str">
        <f>VLOOKUP(B:B,'[2]Hakata Island Team'!$E:$G,3,)</f>
        <v>Vinoth Kumar R</v>
      </c>
      <c r="E80" s="6" t="str">
        <f>VLOOKUP(B:B,'[2]Hakata Island Team'!$E:$H,4,)</f>
        <v xml:space="preserve">SPPL Fleet - A </v>
      </c>
      <c r="F80" s="6" t="s">
        <v>1542</v>
      </c>
      <c r="G80" s="6" t="s">
        <v>1035</v>
      </c>
      <c r="H80" s="7">
        <v>47119</v>
      </c>
      <c r="I80" s="6" t="s">
        <v>1310</v>
      </c>
      <c r="J80" s="6" t="s">
        <v>45</v>
      </c>
      <c r="K80" s="6" t="s">
        <v>45</v>
      </c>
      <c r="L80" s="10">
        <v>12</v>
      </c>
      <c r="M80" s="10">
        <v>3</v>
      </c>
      <c r="N80" s="6" t="s">
        <v>1604</v>
      </c>
      <c r="O80" s="6" t="s">
        <v>1036</v>
      </c>
      <c r="P80" s="27" t="s">
        <v>42</v>
      </c>
      <c r="Q80" s="7">
        <v>45509</v>
      </c>
      <c r="R80" s="7"/>
      <c r="S80" s="6" t="s">
        <v>45</v>
      </c>
      <c r="T80" s="7"/>
      <c r="U80" s="34">
        <v>44594</v>
      </c>
    </row>
    <row r="81" spans="1:21" x14ac:dyDescent="0.35">
      <c r="A81" s="5" t="s">
        <v>1309</v>
      </c>
      <c r="B81" s="6" t="s">
        <v>1605</v>
      </c>
      <c r="C81" s="6" t="s">
        <v>1606</v>
      </c>
      <c r="D81" s="6" t="str">
        <f>VLOOKUP(B:B,'[2]Hakata Island Team'!$E:$G,3,)</f>
        <v>Vinoth Kumar R</v>
      </c>
      <c r="E81" s="6" t="str">
        <f>VLOOKUP(B:B,'[2]Hakata Island Team'!$E:$H,4,)</f>
        <v xml:space="preserve">SPPL Fleet - A </v>
      </c>
      <c r="F81" s="6" t="s">
        <v>1542</v>
      </c>
      <c r="G81" s="6" t="s">
        <v>1035</v>
      </c>
      <c r="H81" s="7">
        <v>45875</v>
      </c>
      <c r="I81" s="6" t="s">
        <v>1310</v>
      </c>
      <c r="J81" s="6" t="s">
        <v>45</v>
      </c>
      <c r="K81" s="6" t="s">
        <v>1554</v>
      </c>
      <c r="L81" s="10">
        <v>12</v>
      </c>
      <c r="M81" s="10">
        <v>3</v>
      </c>
      <c r="N81" s="6" t="s">
        <v>1607</v>
      </c>
      <c r="O81" s="6" t="s">
        <v>1028</v>
      </c>
      <c r="P81" s="27" t="s">
        <v>42</v>
      </c>
      <c r="Q81" s="7">
        <v>45510</v>
      </c>
      <c r="R81" s="7">
        <v>45965</v>
      </c>
      <c r="S81" s="6" t="s">
        <v>1608</v>
      </c>
      <c r="T81" s="7"/>
      <c r="U81" s="34">
        <v>44078</v>
      </c>
    </row>
    <row r="82" spans="1:21" x14ac:dyDescent="0.35">
      <c r="A82" s="5" t="s">
        <v>1306</v>
      </c>
      <c r="B82" s="6" t="s">
        <v>777</v>
      </c>
      <c r="C82" s="6" t="s">
        <v>778</v>
      </c>
      <c r="D82" s="6" t="str">
        <f>VLOOKUP(B:B,'[2]Hakata Island Team'!$E:$G,3,)</f>
        <v>Saravana Kumar Sundar</v>
      </c>
      <c r="E82" s="6" t="str">
        <f>VLOOKUP(B:B,'[2]Hakata Island Team'!$E:$H,4,)</f>
        <v xml:space="preserve">SPPL Fleet - A </v>
      </c>
      <c r="F82" s="6" t="s">
        <v>45</v>
      </c>
      <c r="G82" s="6" t="s">
        <v>45</v>
      </c>
      <c r="H82" s="7">
        <v>45889</v>
      </c>
      <c r="I82" s="6" t="s">
        <v>1307</v>
      </c>
      <c r="J82" s="6" t="s">
        <v>45</v>
      </c>
      <c r="K82" s="6" t="s">
        <v>45</v>
      </c>
      <c r="L82" s="10">
        <v>0</v>
      </c>
      <c r="M82" s="10">
        <v>0</v>
      </c>
      <c r="N82" s="6" t="s">
        <v>1537</v>
      </c>
      <c r="O82" s="6" t="s">
        <v>1125</v>
      </c>
      <c r="P82" s="27" t="s">
        <v>42</v>
      </c>
      <c r="Q82" s="7">
        <v>45823</v>
      </c>
      <c r="R82" s="7"/>
      <c r="S82" s="6" t="s">
        <v>45</v>
      </c>
      <c r="T82" s="7"/>
      <c r="U82" s="34">
        <v>45005</v>
      </c>
    </row>
    <row r="83" spans="1:21" x14ac:dyDescent="0.35">
      <c r="A83" s="5" t="s">
        <v>1564</v>
      </c>
      <c r="B83" s="6" t="s">
        <v>777</v>
      </c>
      <c r="C83" s="6" t="s">
        <v>778</v>
      </c>
      <c r="D83" s="6" t="str">
        <f>VLOOKUP(B:B,'[2]Hakata Island Team'!$E:$G,3,)</f>
        <v>Saravana Kumar Sundar</v>
      </c>
      <c r="E83" s="6" t="str">
        <f>VLOOKUP(B:B,'[2]Hakata Island Team'!$E:$H,4,)</f>
        <v xml:space="preserve">SPPL Fleet - A </v>
      </c>
      <c r="F83" s="6" t="s">
        <v>45</v>
      </c>
      <c r="G83" s="6" t="s">
        <v>45</v>
      </c>
      <c r="H83" s="7">
        <v>45889</v>
      </c>
      <c r="I83" s="6" t="s">
        <v>1565</v>
      </c>
      <c r="J83" s="6" t="s">
        <v>45</v>
      </c>
      <c r="K83" s="6" t="s">
        <v>45</v>
      </c>
      <c r="L83" s="10">
        <v>0</v>
      </c>
      <c r="M83" s="10">
        <v>0</v>
      </c>
      <c r="N83" s="6" t="s">
        <v>1537</v>
      </c>
      <c r="O83" s="6" t="s">
        <v>1125</v>
      </c>
      <c r="P83" s="27" t="s">
        <v>42</v>
      </c>
      <c r="Q83" s="7">
        <v>45823</v>
      </c>
      <c r="R83" s="7"/>
      <c r="S83" s="6" t="s">
        <v>45</v>
      </c>
      <c r="T83" s="7"/>
      <c r="U83" s="34">
        <v>45005</v>
      </c>
    </row>
    <row r="84" spans="1:21" x14ac:dyDescent="0.35">
      <c r="A84" s="5" t="s">
        <v>1297</v>
      </c>
      <c r="B84" s="6" t="s">
        <v>334</v>
      </c>
      <c r="C84" s="6" t="s">
        <v>1129</v>
      </c>
      <c r="D84" s="6" t="str">
        <f>VLOOKUP(B:B,'[2]Hakata Island Team'!$E:$G,3,)</f>
        <v>Samir Magdum</v>
      </c>
      <c r="E84" s="6" t="str">
        <f>VLOOKUP(B:B,'[2]Hakata Island Team'!$E:$H,4,)</f>
        <v>SPPL Fleet - E</v>
      </c>
      <c r="F84" s="6" t="s">
        <v>1542</v>
      </c>
      <c r="G84" s="6" t="s">
        <v>1035</v>
      </c>
      <c r="H84" s="7">
        <v>46023</v>
      </c>
      <c r="I84" s="6" t="s">
        <v>1298</v>
      </c>
      <c r="J84" s="6" t="s">
        <v>45</v>
      </c>
      <c r="K84" s="6" t="s">
        <v>45</v>
      </c>
      <c r="L84" s="10">
        <v>12</v>
      </c>
      <c r="M84" s="10">
        <v>3</v>
      </c>
      <c r="N84" s="6" t="s">
        <v>1547</v>
      </c>
      <c r="O84" s="6" t="s">
        <v>1036</v>
      </c>
      <c r="P84" s="27" t="s">
        <v>42</v>
      </c>
      <c r="Q84" s="7">
        <v>45828</v>
      </c>
      <c r="R84" s="7"/>
      <c r="S84" s="6" t="s">
        <v>45</v>
      </c>
      <c r="T84" s="7"/>
      <c r="U84" s="34">
        <v>45828</v>
      </c>
    </row>
    <row r="85" spans="1:21" x14ac:dyDescent="0.35">
      <c r="A85" s="5" t="s">
        <v>1309</v>
      </c>
      <c r="B85" s="6" t="s">
        <v>334</v>
      </c>
      <c r="C85" s="6" t="s">
        <v>1129</v>
      </c>
      <c r="D85" s="6" t="str">
        <f>VLOOKUP(B:B,'[2]Hakata Island Team'!$E:$G,3,)</f>
        <v>Samir Magdum</v>
      </c>
      <c r="E85" s="6" t="str">
        <f>VLOOKUP(B:B,'[2]Hakata Island Team'!$E:$H,4,)</f>
        <v>SPPL Fleet - E</v>
      </c>
      <c r="F85" s="6" t="s">
        <v>1539</v>
      </c>
      <c r="G85" s="6" t="s">
        <v>1433</v>
      </c>
      <c r="H85" s="7">
        <v>45860</v>
      </c>
      <c r="I85" s="6" t="s">
        <v>1310</v>
      </c>
      <c r="J85" s="6" t="s">
        <v>45</v>
      </c>
      <c r="K85" s="6" t="s">
        <v>45</v>
      </c>
      <c r="L85" s="10">
        <v>29</v>
      </c>
      <c r="M85" s="10">
        <v>9</v>
      </c>
      <c r="N85" s="6" t="s">
        <v>1609</v>
      </c>
      <c r="O85" s="6" t="s">
        <v>1036</v>
      </c>
      <c r="P85" s="27" t="s">
        <v>42</v>
      </c>
      <c r="Q85" s="7">
        <v>44743</v>
      </c>
      <c r="R85" s="7"/>
      <c r="S85" s="6" t="s">
        <v>45</v>
      </c>
      <c r="T85" s="7"/>
      <c r="U85" s="34">
        <v>44783</v>
      </c>
    </row>
    <row r="86" spans="1:21" x14ac:dyDescent="0.35">
      <c r="A86" s="5" t="s">
        <v>1309</v>
      </c>
      <c r="B86" s="6" t="s">
        <v>334</v>
      </c>
      <c r="C86" s="6" t="s">
        <v>1129</v>
      </c>
      <c r="D86" s="6" t="str">
        <f>VLOOKUP(B:B,'[2]Hakata Island Team'!$E:$G,3,)</f>
        <v>Samir Magdum</v>
      </c>
      <c r="E86" s="6" t="str">
        <f>VLOOKUP(B:B,'[2]Hakata Island Team'!$E:$H,4,)</f>
        <v>SPPL Fleet - E</v>
      </c>
      <c r="F86" s="6" t="s">
        <v>1570</v>
      </c>
      <c r="G86" s="6" t="s">
        <v>1433</v>
      </c>
      <c r="H86" s="7">
        <v>45860</v>
      </c>
      <c r="I86" s="6" t="s">
        <v>1310</v>
      </c>
      <c r="J86" s="6" t="s">
        <v>45</v>
      </c>
      <c r="K86" s="6" t="s">
        <v>45</v>
      </c>
      <c r="L86" s="10">
        <v>30</v>
      </c>
      <c r="M86" s="10">
        <v>9</v>
      </c>
      <c r="N86" s="6" t="s">
        <v>1609</v>
      </c>
      <c r="O86" s="6" t="s">
        <v>1036</v>
      </c>
      <c r="P86" s="27" t="s">
        <v>42</v>
      </c>
      <c r="Q86" s="7">
        <v>44743</v>
      </c>
      <c r="R86" s="7"/>
      <c r="S86" s="6" t="s">
        <v>45</v>
      </c>
      <c r="T86" s="7"/>
      <c r="U86" s="34">
        <v>44783</v>
      </c>
    </row>
    <row r="87" spans="1:21" x14ac:dyDescent="0.35">
      <c r="A87" s="5" t="s">
        <v>1324</v>
      </c>
      <c r="B87" s="6" t="s">
        <v>991</v>
      </c>
      <c r="C87" s="6" t="s">
        <v>1610</v>
      </c>
      <c r="D87" s="6" t="str">
        <f>VLOOKUP(B:B,'[2]Hakata Island Team'!$E:$G,3,)</f>
        <v>Praveen Kumar</v>
      </c>
      <c r="E87" s="6" t="str">
        <f>VLOOKUP(B:B,'[2]Hakata Island Team'!$E:$H,4,)</f>
        <v>SPPL Fleet - G</v>
      </c>
      <c r="F87" s="6" t="s">
        <v>1542</v>
      </c>
      <c r="G87" s="6" t="s">
        <v>1035</v>
      </c>
      <c r="H87" s="7">
        <v>45907</v>
      </c>
      <c r="I87" s="6" t="s">
        <v>1325</v>
      </c>
      <c r="J87" s="6" t="s">
        <v>45</v>
      </c>
      <c r="K87" s="6" t="s">
        <v>45</v>
      </c>
      <c r="L87" s="10">
        <v>12</v>
      </c>
      <c r="M87" s="10">
        <v>3</v>
      </c>
      <c r="N87" s="6" t="s">
        <v>1611</v>
      </c>
      <c r="O87" s="6" t="s">
        <v>1036</v>
      </c>
      <c r="P87" s="27" t="s">
        <v>42</v>
      </c>
      <c r="Q87" s="7">
        <v>44812</v>
      </c>
      <c r="R87" s="7"/>
      <c r="S87" s="6" t="s">
        <v>45</v>
      </c>
      <c r="T87" s="7"/>
      <c r="U87" s="34">
        <v>45514</v>
      </c>
    </row>
    <row r="88" spans="1:21" x14ac:dyDescent="0.35">
      <c r="A88" s="5" t="s">
        <v>1297</v>
      </c>
      <c r="B88" s="6" t="s">
        <v>991</v>
      </c>
      <c r="C88" s="6" t="s">
        <v>1610</v>
      </c>
      <c r="D88" s="6" t="str">
        <f>VLOOKUP(B:B,'[2]Hakata Island Team'!$E:$G,3,)</f>
        <v>Praveen Kumar</v>
      </c>
      <c r="E88" s="6" t="str">
        <f>VLOOKUP(B:B,'[2]Hakata Island Team'!$E:$H,4,)</f>
        <v>SPPL Fleet - G</v>
      </c>
      <c r="F88" s="6" t="s">
        <v>1542</v>
      </c>
      <c r="G88" s="6" t="s">
        <v>1035</v>
      </c>
      <c r="H88" s="7">
        <v>45998</v>
      </c>
      <c r="I88" s="6" t="s">
        <v>1298</v>
      </c>
      <c r="J88" s="6" t="s">
        <v>45</v>
      </c>
      <c r="K88" s="6" t="s">
        <v>45</v>
      </c>
      <c r="L88" s="10">
        <v>12</v>
      </c>
      <c r="M88" s="10">
        <v>3</v>
      </c>
      <c r="N88" s="6" t="s">
        <v>1612</v>
      </c>
      <c r="O88" s="6" t="s">
        <v>1036</v>
      </c>
      <c r="P88" s="27" t="s">
        <v>42</v>
      </c>
      <c r="Q88" s="7">
        <v>44812</v>
      </c>
      <c r="R88" s="7"/>
      <c r="S88" s="6" t="s">
        <v>45</v>
      </c>
      <c r="T88" s="7"/>
      <c r="U88" s="34">
        <v>45514</v>
      </c>
    </row>
    <row r="89" spans="1:21" x14ac:dyDescent="0.35">
      <c r="A89" s="5" t="s">
        <v>1328</v>
      </c>
      <c r="B89" s="6" t="s">
        <v>991</v>
      </c>
      <c r="C89" s="6" t="s">
        <v>1610</v>
      </c>
      <c r="D89" s="6" t="str">
        <f>VLOOKUP(B:B,'[2]Hakata Island Team'!$E:$G,3,)</f>
        <v>Praveen Kumar</v>
      </c>
      <c r="E89" s="6" t="str">
        <f>VLOOKUP(B:B,'[2]Hakata Island Team'!$E:$H,4,)</f>
        <v>SPPL Fleet - G</v>
      </c>
      <c r="F89" s="6" t="s">
        <v>1542</v>
      </c>
      <c r="G89" s="6" t="s">
        <v>1035</v>
      </c>
      <c r="H89" s="7">
        <v>45998</v>
      </c>
      <c r="I89" s="6" t="s">
        <v>1329</v>
      </c>
      <c r="J89" s="6" t="s">
        <v>45</v>
      </c>
      <c r="K89" s="6" t="s">
        <v>45</v>
      </c>
      <c r="L89" s="10">
        <v>12</v>
      </c>
      <c r="M89" s="10">
        <v>3</v>
      </c>
      <c r="N89" s="6" t="s">
        <v>1612</v>
      </c>
      <c r="O89" s="6" t="s">
        <v>1036</v>
      </c>
      <c r="P89" s="27" t="s">
        <v>42</v>
      </c>
      <c r="Q89" s="7">
        <v>46014</v>
      </c>
      <c r="R89" s="7"/>
      <c r="S89" s="6" t="s">
        <v>45</v>
      </c>
      <c r="T89" s="7"/>
      <c r="U89" s="34">
        <v>45514</v>
      </c>
    </row>
    <row r="90" spans="1:21" x14ac:dyDescent="0.35">
      <c r="A90" s="5" t="s">
        <v>1309</v>
      </c>
      <c r="B90" s="6" t="s">
        <v>991</v>
      </c>
      <c r="C90" s="6" t="s">
        <v>1610</v>
      </c>
      <c r="D90" s="6" t="str">
        <f>VLOOKUP(B:B,'[2]Hakata Island Team'!$E:$G,3,)</f>
        <v>Praveen Kumar</v>
      </c>
      <c r="E90" s="6" t="str">
        <f>VLOOKUP(B:B,'[2]Hakata Island Team'!$E:$H,4,)</f>
        <v>SPPL Fleet - G</v>
      </c>
      <c r="F90" s="6" t="s">
        <v>1542</v>
      </c>
      <c r="G90" s="6" t="s">
        <v>1035</v>
      </c>
      <c r="H90" s="7">
        <v>45998</v>
      </c>
      <c r="I90" s="6" t="s">
        <v>1310</v>
      </c>
      <c r="J90" s="6" t="s">
        <v>45</v>
      </c>
      <c r="K90" s="6" t="s">
        <v>45</v>
      </c>
      <c r="L90" s="10">
        <v>12</v>
      </c>
      <c r="M90" s="10">
        <v>3</v>
      </c>
      <c r="N90" s="6" t="s">
        <v>1612</v>
      </c>
      <c r="O90" s="6" t="s">
        <v>1036</v>
      </c>
      <c r="P90" s="27" t="s">
        <v>42</v>
      </c>
      <c r="Q90" s="7">
        <v>46014</v>
      </c>
      <c r="R90" s="7"/>
      <c r="S90" s="6" t="s">
        <v>45</v>
      </c>
      <c r="T90" s="7"/>
      <c r="U90" s="34">
        <v>45514</v>
      </c>
    </row>
    <row r="91" spans="1:21" x14ac:dyDescent="0.35">
      <c r="A91" s="5" t="s">
        <v>1335</v>
      </c>
      <c r="B91" s="6" t="s">
        <v>991</v>
      </c>
      <c r="C91" s="6" t="s">
        <v>1610</v>
      </c>
      <c r="D91" s="6" t="str">
        <f>VLOOKUP(B:B,'[2]Hakata Island Team'!$E:$G,3,)</f>
        <v>Praveen Kumar</v>
      </c>
      <c r="E91" s="6" t="str">
        <f>VLOOKUP(B:B,'[2]Hakata Island Team'!$E:$H,4,)</f>
        <v>SPPL Fleet - G</v>
      </c>
      <c r="F91" s="6" t="s">
        <v>1542</v>
      </c>
      <c r="G91" s="6" t="s">
        <v>1035</v>
      </c>
      <c r="H91" s="7">
        <v>45998</v>
      </c>
      <c r="I91" s="6" t="s">
        <v>1336</v>
      </c>
      <c r="J91" s="6" t="s">
        <v>45</v>
      </c>
      <c r="K91" s="6" t="s">
        <v>45</v>
      </c>
      <c r="L91" s="10">
        <v>12</v>
      </c>
      <c r="M91" s="10">
        <v>3</v>
      </c>
      <c r="N91" s="6" t="s">
        <v>1612</v>
      </c>
      <c r="O91" s="6" t="s">
        <v>1036</v>
      </c>
      <c r="P91" s="27" t="s">
        <v>42</v>
      </c>
      <c r="Q91" s="7">
        <v>46014</v>
      </c>
      <c r="R91" s="7"/>
      <c r="S91" s="6" t="s">
        <v>45</v>
      </c>
      <c r="T91" s="7"/>
      <c r="U91" s="34">
        <v>45514</v>
      </c>
    </row>
    <row r="92" spans="1:21" x14ac:dyDescent="0.35">
      <c r="A92" s="5" t="s">
        <v>1548</v>
      </c>
      <c r="B92" s="6" t="s">
        <v>991</v>
      </c>
      <c r="C92" s="6" t="s">
        <v>1610</v>
      </c>
      <c r="D92" s="6" t="str">
        <f>VLOOKUP(B:B,'[2]Hakata Island Team'!$E:$G,3,)</f>
        <v>Praveen Kumar</v>
      </c>
      <c r="E92" s="6" t="str">
        <f>VLOOKUP(B:B,'[2]Hakata Island Team'!$E:$H,4,)</f>
        <v>SPPL Fleet - G</v>
      </c>
      <c r="F92" s="6" t="s">
        <v>1613</v>
      </c>
      <c r="G92" s="6" t="s">
        <v>45</v>
      </c>
      <c r="H92" s="7">
        <v>45998</v>
      </c>
      <c r="I92" s="6" t="s">
        <v>1549</v>
      </c>
      <c r="J92" s="6" t="s">
        <v>45</v>
      </c>
      <c r="K92" s="6" t="s">
        <v>45</v>
      </c>
      <c r="L92" s="10">
        <v>29</v>
      </c>
      <c r="M92" s="10">
        <v>3</v>
      </c>
      <c r="N92" s="6" t="s">
        <v>1612</v>
      </c>
      <c r="O92" s="6" t="s">
        <v>1036</v>
      </c>
      <c r="P92" s="27" t="s">
        <v>42</v>
      </c>
      <c r="Q92" s="7">
        <v>46014</v>
      </c>
      <c r="R92" s="7"/>
      <c r="S92" s="6" t="s">
        <v>45</v>
      </c>
      <c r="T92" s="7"/>
      <c r="U92" s="34">
        <v>44836</v>
      </c>
    </row>
    <row r="93" spans="1:21" x14ac:dyDescent="0.35">
      <c r="A93" s="5" t="s">
        <v>1548</v>
      </c>
      <c r="B93" s="6" t="s">
        <v>991</v>
      </c>
      <c r="C93" s="6" t="s">
        <v>1610</v>
      </c>
      <c r="D93" s="6" t="str">
        <f>VLOOKUP(B:B,'[2]Hakata Island Team'!$E:$G,3,)</f>
        <v>Praveen Kumar</v>
      </c>
      <c r="E93" s="6" t="str">
        <f>VLOOKUP(B:B,'[2]Hakata Island Team'!$E:$H,4,)</f>
        <v>SPPL Fleet - G</v>
      </c>
      <c r="F93" s="6" t="s">
        <v>1542</v>
      </c>
      <c r="G93" s="6" t="s">
        <v>1035</v>
      </c>
      <c r="H93" s="7">
        <v>45998</v>
      </c>
      <c r="I93" s="6" t="s">
        <v>1549</v>
      </c>
      <c r="J93" s="6" t="s">
        <v>45</v>
      </c>
      <c r="K93" s="6" t="s">
        <v>45</v>
      </c>
      <c r="L93" s="10">
        <v>12</v>
      </c>
      <c r="M93" s="10">
        <v>3</v>
      </c>
      <c r="N93" s="6" t="s">
        <v>1612</v>
      </c>
      <c r="O93" s="6" t="s">
        <v>1036</v>
      </c>
      <c r="P93" s="27" t="s">
        <v>42</v>
      </c>
      <c r="Q93" s="7">
        <v>46014</v>
      </c>
      <c r="R93" s="7"/>
      <c r="S93" s="6" t="s">
        <v>45</v>
      </c>
      <c r="T93" s="7"/>
      <c r="U93" s="34">
        <v>45514</v>
      </c>
    </row>
    <row r="94" spans="1:21" x14ac:dyDescent="0.35">
      <c r="A94" s="5" t="s">
        <v>1321</v>
      </c>
      <c r="B94" s="6" t="s">
        <v>991</v>
      </c>
      <c r="C94" s="6" t="s">
        <v>1610</v>
      </c>
      <c r="D94" s="6" t="str">
        <f>VLOOKUP(B:B,'[2]Hakata Island Team'!$E:$G,3,)</f>
        <v>Praveen Kumar</v>
      </c>
      <c r="E94" s="6" t="str">
        <f>VLOOKUP(B:B,'[2]Hakata Island Team'!$E:$H,4,)</f>
        <v>SPPL Fleet - G</v>
      </c>
      <c r="F94" s="6" t="s">
        <v>1542</v>
      </c>
      <c r="G94" s="6" t="s">
        <v>1035</v>
      </c>
      <c r="H94" s="7">
        <v>45998</v>
      </c>
      <c r="I94" s="6" t="s">
        <v>1322</v>
      </c>
      <c r="J94" s="6" t="s">
        <v>45</v>
      </c>
      <c r="K94" s="6" t="s">
        <v>45</v>
      </c>
      <c r="L94" s="10">
        <v>12</v>
      </c>
      <c r="M94" s="10">
        <v>3</v>
      </c>
      <c r="N94" s="6" t="s">
        <v>1612</v>
      </c>
      <c r="O94" s="6" t="s">
        <v>1036</v>
      </c>
      <c r="P94" s="27" t="s">
        <v>42</v>
      </c>
      <c r="Q94" s="7">
        <v>46014</v>
      </c>
      <c r="R94" s="7"/>
      <c r="S94" s="6" t="s">
        <v>45</v>
      </c>
      <c r="T94" s="7"/>
      <c r="U94" s="34">
        <v>45514</v>
      </c>
    </row>
    <row r="95" spans="1:21" x14ac:dyDescent="0.35">
      <c r="A95" s="5" t="s">
        <v>1550</v>
      </c>
      <c r="B95" s="6" t="s">
        <v>796</v>
      </c>
      <c r="C95" s="6" t="s">
        <v>797</v>
      </c>
      <c r="D95" s="6" t="str">
        <f>VLOOKUP(B:B,'[2]Hakata Island Team'!$E:$G,3,)</f>
        <v>Senthilvelan</v>
      </c>
      <c r="E95" s="6" t="str">
        <f>VLOOKUP(B:B,'[2]Hakata Island Team'!$E:$H,4,)</f>
        <v xml:space="preserve">SPPL Fleet - A </v>
      </c>
      <c r="F95" s="6" t="s">
        <v>1586</v>
      </c>
      <c r="G95" s="6" t="s">
        <v>1035</v>
      </c>
      <c r="H95" s="7">
        <v>45896</v>
      </c>
      <c r="I95" s="6" t="s">
        <v>1552</v>
      </c>
      <c r="J95" s="6" t="s">
        <v>45</v>
      </c>
      <c r="K95" s="6" t="s">
        <v>45</v>
      </c>
      <c r="L95" s="10">
        <v>12</v>
      </c>
      <c r="M95" s="10">
        <v>0</v>
      </c>
      <c r="N95" s="6" t="s">
        <v>1537</v>
      </c>
      <c r="O95" s="6" t="s">
        <v>1036</v>
      </c>
      <c r="P95" s="27" t="s">
        <v>42</v>
      </c>
      <c r="Q95" s="7">
        <v>45875</v>
      </c>
      <c r="R95" s="7"/>
      <c r="S95" s="6" t="s">
        <v>45</v>
      </c>
      <c r="T95" s="7"/>
      <c r="U95" s="34">
        <v>45531</v>
      </c>
    </row>
    <row r="96" spans="1:21" x14ac:dyDescent="0.35">
      <c r="A96" s="5" t="s">
        <v>1186</v>
      </c>
      <c r="B96" s="6" t="s">
        <v>777</v>
      </c>
      <c r="C96" s="6" t="s">
        <v>778</v>
      </c>
      <c r="D96" s="6" t="str">
        <f>VLOOKUP(B:B,'[2]Hakata Island Team'!$E:$G,3,)</f>
        <v>Saravana Kumar Sundar</v>
      </c>
      <c r="E96" s="6" t="str">
        <f>VLOOKUP(B:B,'[2]Hakata Island Team'!$E:$H,4,)</f>
        <v xml:space="preserve">SPPL Fleet - A </v>
      </c>
      <c r="F96" s="6" t="s">
        <v>1574</v>
      </c>
      <c r="G96" s="6" t="s">
        <v>1184</v>
      </c>
      <c r="H96" s="7">
        <v>45079</v>
      </c>
      <c r="I96" s="6" t="s">
        <v>1187</v>
      </c>
      <c r="J96" s="6" t="s">
        <v>45</v>
      </c>
      <c r="K96" s="6" t="s">
        <v>1614</v>
      </c>
      <c r="L96" s="10">
        <v>12</v>
      </c>
      <c r="M96" s="10">
        <v>0</v>
      </c>
      <c r="N96" s="6" t="s">
        <v>1537</v>
      </c>
      <c r="O96" s="6" t="s">
        <v>1036</v>
      </c>
      <c r="P96" s="27" t="s">
        <v>42</v>
      </c>
      <c r="Q96" s="7">
        <v>46097</v>
      </c>
      <c r="R96" s="7"/>
      <c r="S96" s="6" t="s">
        <v>45</v>
      </c>
      <c r="T96" s="7"/>
      <c r="U96" s="34">
        <v>44714</v>
      </c>
    </row>
    <row r="97" spans="1:21" x14ac:dyDescent="0.35">
      <c r="A97" s="5" t="s">
        <v>1186</v>
      </c>
      <c r="B97" s="6" t="s">
        <v>777</v>
      </c>
      <c r="C97" s="6" t="s">
        <v>778</v>
      </c>
      <c r="D97" s="6" t="str">
        <f>VLOOKUP(B:B,'[2]Hakata Island Team'!$E:$G,3,)</f>
        <v>Saravana Kumar Sundar</v>
      </c>
      <c r="E97" s="6" t="str">
        <f>VLOOKUP(B:B,'[2]Hakata Island Team'!$E:$H,4,)</f>
        <v xml:space="preserve">SPPL Fleet - A </v>
      </c>
      <c r="F97" s="6" t="s">
        <v>1575</v>
      </c>
      <c r="G97" s="6" t="s">
        <v>1184</v>
      </c>
      <c r="H97" s="7">
        <v>45079</v>
      </c>
      <c r="I97" s="6" t="s">
        <v>1187</v>
      </c>
      <c r="J97" s="6" t="s">
        <v>45</v>
      </c>
      <c r="K97" s="6" t="s">
        <v>1614</v>
      </c>
      <c r="L97" s="10">
        <v>12</v>
      </c>
      <c r="M97" s="10">
        <v>0</v>
      </c>
      <c r="N97" s="6" t="s">
        <v>1537</v>
      </c>
      <c r="O97" s="6" t="s">
        <v>1036</v>
      </c>
      <c r="P97" s="27" t="s">
        <v>42</v>
      </c>
      <c r="Q97" s="7">
        <v>46097</v>
      </c>
      <c r="R97" s="7"/>
      <c r="S97" s="6" t="s">
        <v>45</v>
      </c>
      <c r="T97" s="7"/>
      <c r="U97" s="34">
        <v>44714</v>
      </c>
    </row>
    <row r="98" spans="1:21" x14ac:dyDescent="0.35">
      <c r="A98" s="5" t="s">
        <v>1321</v>
      </c>
      <c r="B98" s="6" t="s">
        <v>1615</v>
      </c>
      <c r="C98" s="6" t="s">
        <v>1616</v>
      </c>
      <c r="D98" s="6" t="str">
        <f>VLOOKUP(B:B,'[2]Hakata Island Team'!$E:$G,3,)</f>
        <v>Jugal Toshniwal /Vinayak Agarwal</v>
      </c>
      <c r="E98" s="6" t="str">
        <f>VLOOKUP(B:B,'[2]Hakata Island Team'!$E:$H,4,)</f>
        <v>SPPL Fleet - E</v>
      </c>
      <c r="F98" s="6" t="s">
        <v>1542</v>
      </c>
      <c r="G98" s="6" t="s">
        <v>1035</v>
      </c>
      <c r="H98" s="7">
        <v>46023</v>
      </c>
      <c r="I98" s="6" t="s">
        <v>1322</v>
      </c>
      <c r="J98" s="6" t="s">
        <v>45</v>
      </c>
      <c r="K98" s="6" t="s">
        <v>45</v>
      </c>
      <c r="L98" s="10">
        <v>12</v>
      </c>
      <c r="M98" s="10">
        <v>3</v>
      </c>
      <c r="N98" s="6" t="s">
        <v>1547</v>
      </c>
      <c r="O98" s="6" t="s">
        <v>1036</v>
      </c>
      <c r="P98" s="27" t="s">
        <v>42</v>
      </c>
      <c r="Q98" s="7">
        <v>45958</v>
      </c>
      <c r="R98" s="7"/>
      <c r="S98" s="6" t="s">
        <v>45</v>
      </c>
      <c r="T98" s="7"/>
      <c r="U98" s="34">
        <v>45958</v>
      </c>
    </row>
    <row r="99" spans="1:21" x14ac:dyDescent="0.35">
      <c r="A99" s="5" t="s">
        <v>1286</v>
      </c>
      <c r="B99" s="6" t="s">
        <v>1615</v>
      </c>
      <c r="C99" s="6" t="s">
        <v>1616</v>
      </c>
      <c r="D99" s="6" t="str">
        <f>VLOOKUP(B:B,'[2]Hakata Island Team'!$E:$G,3,)</f>
        <v>Jugal Toshniwal /Vinayak Agarwal</v>
      </c>
      <c r="E99" s="6" t="str">
        <f>VLOOKUP(B:B,'[2]Hakata Island Team'!$E:$H,4,)</f>
        <v>SPPL Fleet - E</v>
      </c>
      <c r="F99" s="6" t="s">
        <v>1542</v>
      </c>
      <c r="G99" s="6" t="s">
        <v>1035</v>
      </c>
      <c r="H99" s="7">
        <v>46023</v>
      </c>
      <c r="I99" s="6" t="s">
        <v>1288</v>
      </c>
      <c r="J99" s="6" t="s">
        <v>45</v>
      </c>
      <c r="K99" s="6" t="s">
        <v>45</v>
      </c>
      <c r="L99" s="10">
        <v>12</v>
      </c>
      <c r="M99" s="10">
        <v>3</v>
      </c>
      <c r="N99" s="6" t="s">
        <v>1547</v>
      </c>
      <c r="O99" s="6" t="s">
        <v>1036</v>
      </c>
      <c r="P99" s="27" t="s">
        <v>42</v>
      </c>
      <c r="Q99" s="7">
        <v>45958</v>
      </c>
      <c r="R99" s="7"/>
      <c r="S99" s="6" t="s">
        <v>45</v>
      </c>
      <c r="T99" s="7"/>
      <c r="U99" s="34">
        <v>45989</v>
      </c>
    </row>
    <row r="100" spans="1:21" x14ac:dyDescent="0.35">
      <c r="A100" s="5" t="s">
        <v>1324</v>
      </c>
      <c r="B100" s="6" t="s">
        <v>1615</v>
      </c>
      <c r="C100" s="6" t="s">
        <v>1616</v>
      </c>
      <c r="D100" s="6" t="str">
        <f>VLOOKUP(B:B,'[2]Hakata Island Team'!$E:$G,3,)</f>
        <v>Jugal Toshniwal /Vinayak Agarwal</v>
      </c>
      <c r="E100" s="6" t="str">
        <f>VLOOKUP(B:B,'[2]Hakata Island Team'!$E:$H,4,)</f>
        <v>SPPL Fleet - E</v>
      </c>
      <c r="F100" s="6" t="s">
        <v>1542</v>
      </c>
      <c r="G100" s="6" t="s">
        <v>1035</v>
      </c>
      <c r="H100" s="7">
        <v>46023</v>
      </c>
      <c r="I100" s="6" t="s">
        <v>1325</v>
      </c>
      <c r="J100" s="6" t="s">
        <v>45</v>
      </c>
      <c r="K100" s="6" t="s">
        <v>45</v>
      </c>
      <c r="L100" s="10">
        <v>12</v>
      </c>
      <c r="M100" s="10">
        <v>3</v>
      </c>
      <c r="N100" s="6" t="s">
        <v>1547</v>
      </c>
      <c r="O100" s="6" t="s">
        <v>1036</v>
      </c>
      <c r="P100" s="27" t="s">
        <v>42</v>
      </c>
      <c r="Q100" s="7">
        <v>45958</v>
      </c>
      <c r="R100" s="7"/>
      <c r="S100" s="6" t="s">
        <v>45</v>
      </c>
      <c r="T100" s="7"/>
      <c r="U100" s="34">
        <v>45958</v>
      </c>
    </row>
    <row r="101" spans="1:21" x14ac:dyDescent="0.35">
      <c r="A101" s="5" t="s">
        <v>1335</v>
      </c>
      <c r="B101" s="6" t="s">
        <v>1615</v>
      </c>
      <c r="C101" s="6" t="s">
        <v>1616</v>
      </c>
      <c r="D101" s="6" t="str">
        <f>VLOOKUP(B:B,'[2]Hakata Island Team'!$E:$G,3,)</f>
        <v>Jugal Toshniwal /Vinayak Agarwal</v>
      </c>
      <c r="E101" s="6" t="str">
        <f>VLOOKUP(B:B,'[2]Hakata Island Team'!$E:$H,4,)</f>
        <v>SPPL Fleet - E</v>
      </c>
      <c r="F101" s="6" t="s">
        <v>1542</v>
      </c>
      <c r="G101" s="6" t="s">
        <v>1035</v>
      </c>
      <c r="H101" s="7">
        <v>46023</v>
      </c>
      <c r="I101" s="6" t="s">
        <v>1336</v>
      </c>
      <c r="J101" s="6" t="s">
        <v>45</v>
      </c>
      <c r="K101" s="6" t="s">
        <v>45</v>
      </c>
      <c r="L101" s="10">
        <v>12</v>
      </c>
      <c r="M101" s="10">
        <v>3</v>
      </c>
      <c r="N101" s="6" t="s">
        <v>1547</v>
      </c>
      <c r="O101" s="6" t="s">
        <v>1036</v>
      </c>
      <c r="P101" s="27" t="s">
        <v>42</v>
      </c>
      <c r="Q101" s="7">
        <v>45958</v>
      </c>
      <c r="R101" s="7"/>
      <c r="S101" s="6" t="s">
        <v>45</v>
      </c>
      <c r="T101" s="7"/>
      <c r="U101" s="34">
        <v>45958</v>
      </c>
    </row>
    <row r="102" spans="1:21" x14ac:dyDescent="0.35">
      <c r="A102" s="5" t="s">
        <v>1328</v>
      </c>
      <c r="B102" s="6" t="s">
        <v>1615</v>
      </c>
      <c r="C102" s="6" t="s">
        <v>1616</v>
      </c>
      <c r="D102" s="6" t="str">
        <f>VLOOKUP(B:B,'[2]Hakata Island Team'!$E:$G,3,)</f>
        <v>Jugal Toshniwal /Vinayak Agarwal</v>
      </c>
      <c r="E102" s="6" t="str">
        <f>VLOOKUP(B:B,'[2]Hakata Island Team'!$E:$H,4,)</f>
        <v>SPPL Fleet - E</v>
      </c>
      <c r="F102" s="6" t="s">
        <v>1542</v>
      </c>
      <c r="G102" s="6" t="s">
        <v>1035</v>
      </c>
      <c r="H102" s="7">
        <v>46023</v>
      </c>
      <c r="I102" s="6" t="s">
        <v>1329</v>
      </c>
      <c r="J102" s="6" t="s">
        <v>45</v>
      </c>
      <c r="K102" s="6" t="s">
        <v>45</v>
      </c>
      <c r="L102" s="10">
        <v>12</v>
      </c>
      <c r="M102" s="10">
        <v>3</v>
      </c>
      <c r="N102" s="6" t="s">
        <v>1547</v>
      </c>
      <c r="O102" s="6" t="s">
        <v>1036</v>
      </c>
      <c r="P102" s="27" t="s">
        <v>42</v>
      </c>
      <c r="Q102" s="7">
        <v>45958</v>
      </c>
      <c r="R102" s="7"/>
      <c r="S102" s="6" t="s">
        <v>45</v>
      </c>
      <c r="T102" s="7"/>
      <c r="U102" s="34">
        <v>45958</v>
      </c>
    </row>
    <row r="103" spans="1:21" x14ac:dyDescent="0.35">
      <c r="A103" s="5" t="s">
        <v>1315</v>
      </c>
      <c r="B103" s="6" t="s">
        <v>1615</v>
      </c>
      <c r="C103" s="6" t="s">
        <v>1616</v>
      </c>
      <c r="D103" s="6" t="str">
        <f>VLOOKUP(B:B,'[2]Hakata Island Team'!$E:$G,3,)</f>
        <v>Jugal Toshniwal /Vinayak Agarwal</v>
      </c>
      <c r="E103" s="6" t="str">
        <f>VLOOKUP(B:B,'[2]Hakata Island Team'!$E:$H,4,)</f>
        <v>SPPL Fleet - E</v>
      </c>
      <c r="F103" s="6" t="s">
        <v>1542</v>
      </c>
      <c r="G103" s="6" t="s">
        <v>1035</v>
      </c>
      <c r="H103" s="7">
        <v>45658</v>
      </c>
      <c r="I103" s="6" t="s">
        <v>1316</v>
      </c>
      <c r="J103" s="6" t="s">
        <v>45</v>
      </c>
      <c r="K103" s="6" t="s">
        <v>45</v>
      </c>
      <c r="L103" s="10">
        <v>12</v>
      </c>
      <c r="M103" s="10">
        <v>3</v>
      </c>
      <c r="N103" s="6" t="s">
        <v>1557</v>
      </c>
      <c r="O103" s="6" t="s">
        <v>1036</v>
      </c>
      <c r="P103" s="27" t="s">
        <v>42</v>
      </c>
      <c r="Q103" s="7">
        <v>45958</v>
      </c>
      <c r="R103" s="7"/>
      <c r="S103" s="6" t="s">
        <v>45</v>
      </c>
      <c r="T103" s="7"/>
      <c r="U103" s="34">
        <v>45624</v>
      </c>
    </row>
    <row r="104" spans="1:21" x14ac:dyDescent="0.35">
      <c r="A104" s="5" t="s">
        <v>1564</v>
      </c>
      <c r="B104" s="6" t="s">
        <v>51</v>
      </c>
      <c r="C104" s="6" t="s">
        <v>1277</v>
      </c>
      <c r="D104" s="6" t="str">
        <f>VLOOKUP(B:B,'[2]Hakata Island Team'!$E:$G,3,)</f>
        <v>Rupak Chundayil Kalam</v>
      </c>
      <c r="E104" s="6" t="str">
        <f>VLOOKUP(B:B,'[2]Hakata Island Team'!$E:$H,4,)</f>
        <v>SPPL Fleet - B</v>
      </c>
      <c r="F104" s="6" t="s">
        <v>45</v>
      </c>
      <c r="G104" s="6" t="s">
        <v>45</v>
      </c>
      <c r="H104" s="7">
        <v>46016</v>
      </c>
      <c r="I104" s="6" t="s">
        <v>1565</v>
      </c>
      <c r="J104" s="6" t="s">
        <v>45</v>
      </c>
      <c r="K104" s="6" t="s">
        <v>45</v>
      </c>
      <c r="L104" s="10">
        <v>0</v>
      </c>
      <c r="M104" s="10">
        <v>0</v>
      </c>
      <c r="N104" s="6" t="s">
        <v>1537</v>
      </c>
      <c r="O104" s="6" t="s">
        <v>1036</v>
      </c>
      <c r="P104" s="27" t="s">
        <v>42</v>
      </c>
      <c r="Q104" s="7">
        <v>46095</v>
      </c>
      <c r="R104" s="7"/>
      <c r="S104" s="6" t="s">
        <v>45</v>
      </c>
      <c r="T104" s="7"/>
      <c r="U104" s="34">
        <v>45132</v>
      </c>
    </row>
    <row r="105" spans="1:21" x14ac:dyDescent="0.35">
      <c r="A105" s="5" t="s">
        <v>1315</v>
      </c>
      <c r="B105" s="6" t="s">
        <v>1617</v>
      </c>
      <c r="C105" s="6" t="s">
        <v>1618</v>
      </c>
      <c r="D105" s="6" t="str">
        <f>VLOOKUP(B:B,'[2]Hakata Island Team'!$E:$G,3,)</f>
        <v>Jugal Toshniwal /Vinayak Agarwal</v>
      </c>
      <c r="E105" s="6" t="str">
        <f>VLOOKUP(B:B,'[2]Hakata Island Team'!$E:$H,4,)</f>
        <v>SPPL Fleet - E</v>
      </c>
      <c r="F105" s="6" t="s">
        <v>1581</v>
      </c>
      <c r="G105" s="6" t="s">
        <v>1433</v>
      </c>
      <c r="H105" s="7">
        <v>45905</v>
      </c>
      <c r="I105" s="6" t="s">
        <v>1316</v>
      </c>
      <c r="J105" s="6" t="s">
        <v>45</v>
      </c>
      <c r="K105" s="6" t="s">
        <v>45</v>
      </c>
      <c r="L105" s="10">
        <v>29</v>
      </c>
      <c r="M105" s="10">
        <v>3</v>
      </c>
      <c r="N105" s="6" t="s">
        <v>1619</v>
      </c>
      <c r="O105" s="6" t="s">
        <v>1036</v>
      </c>
      <c r="P105" s="27" t="s">
        <v>42</v>
      </c>
      <c r="Q105" s="7">
        <v>45541</v>
      </c>
      <c r="R105" s="7"/>
      <c r="S105" s="6" t="s">
        <v>45</v>
      </c>
      <c r="T105" s="7"/>
      <c r="U105" s="34"/>
    </row>
    <row r="106" spans="1:21" x14ac:dyDescent="0.35">
      <c r="A106" s="5" t="s">
        <v>1571</v>
      </c>
      <c r="B106" s="6" t="s">
        <v>90</v>
      </c>
      <c r="C106" s="6" t="s">
        <v>1620</v>
      </c>
      <c r="D106" s="6" t="str">
        <f>VLOOKUP(B:B,'[2]Hakata Island Team'!$E:$G,3,)</f>
        <v>Shivam Sawant</v>
      </c>
      <c r="E106" s="6" t="str">
        <f>VLOOKUP(B:B,'[2]Hakata Island Team'!$E:$H,4,)</f>
        <v>SPPL Fleet - F</v>
      </c>
      <c r="F106" s="6" t="s">
        <v>1621</v>
      </c>
      <c r="G106" s="6" t="s">
        <v>1035</v>
      </c>
      <c r="H106" s="7">
        <v>45825</v>
      </c>
      <c r="I106" s="6" t="s">
        <v>1572</v>
      </c>
      <c r="J106" s="6" t="s">
        <v>45</v>
      </c>
      <c r="K106" s="6" t="s">
        <v>45</v>
      </c>
      <c r="L106" s="10">
        <v>12</v>
      </c>
      <c r="M106" s="10">
        <v>3</v>
      </c>
      <c r="N106" s="6" t="s">
        <v>1622</v>
      </c>
      <c r="O106" s="6" t="s">
        <v>1036</v>
      </c>
      <c r="P106" s="27" t="s">
        <v>42</v>
      </c>
      <c r="Q106" s="7">
        <v>45460</v>
      </c>
      <c r="R106" s="7"/>
      <c r="S106" s="6" t="s">
        <v>45</v>
      </c>
      <c r="T106" s="7"/>
      <c r="U106" s="34">
        <v>45460</v>
      </c>
    </row>
    <row r="107" spans="1:21" x14ac:dyDescent="0.35">
      <c r="A107" s="5" t="s">
        <v>1231</v>
      </c>
      <c r="B107" s="6" t="s">
        <v>419</v>
      </c>
      <c r="C107" s="6" t="s">
        <v>732</v>
      </c>
      <c r="D107" s="6" t="str">
        <f>VLOOKUP(B:B,'[2]Hakata Island Team'!$E:$G,3,)</f>
        <v>Rupak Chundayil Kalam</v>
      </c>
      <c r="E107" s="6" t="str">
        <f>VLOOKUP(B:B,'[2]Hakata Island Team'!$E:$H,4,)</f>
        <v>SPPL Fleet - B</v>
      </c>
      <c r="F107" s="6" t="s">
        <v>1587</v>
      </c>
      <c r="G107" s="6" t="s">
        <v>1035</v>
      </c>
      <c r="H107" s="7">
        <v>45878</v>
      </c>
      <c r="I107" s="6" t="s">
        <v>1232</v>
      </c>
      <c r="J107" s="6" t="s">
        <v>45</v>
      </c>
      <c r="K107" s="6" t="s">
        <v>45</v>
      </c>
      <c r="L107" s="10">
        <v>12</v>
      </c>
      <c r="M107" s="10">
        <v>0</v>
      </c>
      <c r="N107" s="6" t="s">
        <v>1537</v>
      </c>
      <c r="O107" s="6" t="s">
        <v>1036</v>
      </c>
      <c r="P107" s="27" t="s">
        <v>42</v>
      </c>
      <c r="Q107" s="7">
        <v>45887</v>
      </c>
      <c r="R107" s="7"/>
      <c r="S107" s="6" t="s">
        <v>45</v>
      </c>
      <c r="T107" s="7"/>
      <c r="U107" s="34"/>
    </row>
    <row r="108" spans="1:21" x14ac:dyDescent="0.35">
      <c r="A108" s="5" t="s">
        <v>1231</v>
      </c>
      <c r="B108" s="6" t="s">
        <v>419</v>
      </c>
      <c r="C108" s="6" t="s">
        <v>732</v>
      </c>
      <c r="D108" s="6" t="str">
        <f>VLOOKUP(B:B,'[2]Hakata Island Team'!$E:$G,3,)</f>
        <v>Rupak Chundayil Kalam</v>
      </c>
      <c r="E108" s="6" t="str">
        <f>VLOOKUP(B:B,'[2]Hakata Island Team'!$E:$H,4,)</f>
        <v>SPPL Fleet - B</v>
      </c>
      <c r="F108" s="6" t="s">
        <v>1623</v>
      </c>
      <c r="G108" s="6" t="s">
        <v>1035</v>
      </c>
      <c r="H108" s="7">
        <v>45878</v>
      </c>
      <c r="I108" s="6" t="s">
        <v>1232</v>
      </c>
      <c r="J108" s="6" t="s">
        <v>45</v>
      </c>
      <c r="K108" s="6" t="s">
        <v>45</v>
      </c>
      <c r="L108" s="10">
        <v>12</v>
      </c>
      <c r="M108" s="10">
        <v>0</v>
      </c>
      <c r="N108" s="6" t="s">
        <v>1537</v>
      </c>
      <c r="O108" s="6" t="s">
        <v>1036</v>
      </c>
      <c r="P108" s="27" t="s">
        <v>42</v>
      </c>
      <c r="Q108" s="7">
        <v>45887</v>
      </c>
      <c r="R108" s="7"/>
      <c r="S108" s="6" t="s">
        <v>45</v>
      </c>
      <c r="T108" s="7"/>
      <c r="U108" s="34"/>
    </row>
    <row r="109" spans="1:21" x14ac:dyDescent="0.35">
      <c r="A109" s="5" t="s">
        <v>1624</v>
      </c>
      <c r="B109" s="6" t="s">
        <v>419</v>
      </c>
      <c r="C109" s="6" t="s">
        <v>732</v>
      </c>
      <c r="D109" s="6" t="str">
        <f>VLOOKUP(B:B,'[2]Hakata Island Team'!$E:$G,3,)</f>
        <v>Rupak Chundayil Kalam</v>
      </c>
      <c r="E109" s="6" t="str">
        <f>VLOOKUP(B:B,'[2]Hakata Island Team'!$E:$H,4,)</f>
        <v>SPPL Fleet - B</v>
      </c>
      <c r="F109" s="6" t="s">
        <v>1587</v>
      </c>
      <c r="G109" s="6" t="s">
        <v>1035</v>
      </c>
      <c r="H109" s="7">
        <v>45878</v>
      </c>
      <c r="I109" s="6" t="s">
        <v>1625</v>
      </c>
      <c r="J109" s="6" t="s">
        <v>45</v>
      </c>
      <c r="K109" s="6" t="s">
        <v>45</v>
      </c>
      <c r="L109" s="10">
        <v>12</v>
      </c>
      <c r="M109" s="10">
        <v>0</v>
      </c>
      <c r="N109" s="6" t="s">
        <v>1537</v>
      </c>
      <c r="O109" s="6" t="s">
        <v>1036</v>
      </c>
      <c r="P109" s="27" t="s">
        <v>42</v>
      </c>
      <c r="Q109" s="7">
        <v>45887</v>
      </c>
      <c r="R109" s="7"/>
      <c r="S109" s="6" t="s">
        <v>45</v>
      </c>
      <c r="T109" s="7"/>
      <c r="U109" s="34"/>
    </row>
    <row r="110" spans="1:21" x14ac:dyDescent="0.35">
      <c r="A110" s="5" t="s">
        <v>1624</v>
      </c>
      <c r="B110" s="6" t="s">
        <v>419</v>
      </c>
      <c r="C110" s="6" t="s">
        <v>732</v>
      </c>
      <c r="D110" s="6" t="str">
        <f>VLOOKUP(B:B,'[2]Hakata Island Team'!$E:$G,3,)</f>
        <v>Rupak Chundayil Kalam</v>
      </c>
      <c r="E110" s="6" t="str">
        <f>VLOOKUP(B:B,'[2]Hakata Island Team'!$E:$H,4,)</f>
        <v>SPPL Fleet - B</v>
      </c>
      <c r="F110" s="6" t="s">
        <v>1623</v>
      </c>
      <c r="G110" s="6" t="s">
        <v>1035</v>
      </c>
      <c r="H110" s="7">
        <v>45878</v>
      </c>
      <c r="I110" s="6" t="s">
        <v>1625</v>
      </c>
      <c r="J110" s="6" t="s">
        <v>45</v>
      </c>
      <c r="K110" s="6" t="s">
        <v>45</v>
      </c>
      <c r="L110" s="10">
        <v>12</v>
      </c>
      <c r="M110" s="10">
        <v>0</v>
      </c>
      <c r="N110" s="6" t="s">
        <v>1537</v>
      </c>
      <c r="O110" s="6" t="s">
        <v>1036</v>
      </c>
      <c r="P110" s="27" t="s">
        <v>42</v>
      </c>
      <c r="Q110" s="7">
        <v>45887</v>
      </c>
      <c r="R110" s="7"/>
      <c r="S110" s="6" t="s">
        <v>45</v>
      </c>
      <c r="T110" s="7"/>
      <c r="U110" s="34"/>
    </row>
    <row r="111" spans="1:21" x14ac:dyDescent="0.35">
      <c r="A111" s="5" t="s">
        <v>1626</v>
      </c>
      <c r="B111" s="6" t="s">
        <v>419</v>
      </c>
      <c r="C111" s="6" t="s">
        <v>732</v>
      </c>
      <c r="D111" s="6" t="str">
        <f>VLOOKUP(B:B,'[2]Hakata Island Team'!$E:$G,3,)</f>
        <v>Rupak Chundayil Kalam</v>
      </c>
      <c r="E111" s="6" t="str">
        <f>VLOOKUP(B:B,'[2]Hakata Island Team'!$E:$H,4,)</f>
        <v>SPPL Fleet - B</v>
      </c>
      <c r="F111" s="6" t="s">
        <v>1587</v>
      </c>
      <c r="G111" s="6" t="s">
        <v>1035</v>
      </c>
      <c r="H111" s="7">
        <v>45878</v>
      </c>
      <c r="I111" s="6" t="s">
        <v>1627</v>
      </c>
      <c r="J111" s="6" t="s">
        <v>45</v>
      </c>
      <c r="K111" s="6" t="s">
        <v>45</v>
      </c>
      <c r="L111" s="10">
        <v>12</v>
      </c>
      <c r="M111" s="10">
        <v>0</v>
      </c>
      <c r="N111" s="6" t="s">
        <v>1537</v>
      </c>
      <c r="O111" s="6" t="s">
        <v>1036</v>
      </c>
      <c r="P111" s="27" t="s">
        <v>42</v>
      </c>
      <c r="Q111" s="7">
        <v>45886</v>
      </c>
      <c r="R111" s="7"/>
      <c r="S111" s="6" t="s">
        <v>45</v>
      </c>
      <c r="T111" s="7"/>
      <c r="U111" s="34"/>
    </row>
    <row r="112" spans="1:21" x14ac:dyDescent="0.35">
      <c r="A112" s="5" t="s">
        <v>1626</v>
      </c>
      <c r="B112" s="6" t="s">
        <v>419</v>
      </c>
      <c r="C112" s="6" t="s">
        <v>732</v>
      </c>
      <c r="D112" s="6" t="str">
        <f>VLOOKUP(B:B,'[2]Hakata Island Team'!$E:$G,3,)</f>
        <v>Rupak Chundayil Kalam</v>
      </c>
      <c r="E112" s="6" t="str">
        <f>VLOOKUP(B:B,'[2]Hakata Island Team'!$E:$H,4,)</f>
        <v>SPPL Fleet - B</v>
      </c>
      <c r="F112" s="6" t="s">
        <v>1623</v>
      </c>
      <c r="G112" s="6" t="s">
        <v>1035</v>
      </c>
      <c r="H112" s="7">
        <v>45878</v>
      </c>
      <c r="I112" s="6" t="s">
        <v>1627</v>
      </c>
      <c r="J112" s="6" t="s">
        <v>45</v>
      </c>
      <c r="K112" s="6" t="s">
        <v>45</v>
      </c>
      <c r="L112" s="10">
        <v>12</v>
      </c>
      <c r="M112" s="10">
        <v>0</v>
      </c>
      <c r="N112" s="6" t="s">
        <v>1537</v>
      </c>
      <c r="O112" s="6" t="s">
        <v>1036</v>
      </c>
      <c r="P112" s="27" t="s">
        <v>42</v>
      </c>
      <c r="Q112" s="7">
        <v>45886</v>
      </c>
      <c r="R112" s="7"/>
      <c r="S112" s="6" t="s">
        <v>45</v>
      </c>
      <c r="T112" s="7"/>
      <c r="U112" s="34"/>
    </row>
    <row r="113" spans="1:21" x14ac:dyDescent="0.35">
      <c r="A113" s="5" t="s">
        <v>1571</v>
      </c>
      <c r="B113" s="6" t="s">
        <v>1259</v>
      </c>
      <c r="C113" s="6" t="s">
        <v>1260</v>
      </c>
      <c r="D113" s="6" t="str">
        <f>VLOOKUP(B:B,'[2]Hakata Island Team'!$E:$G,3,)</f>
        <v>Rupak Chundayil Kalam</v>
      </c>
      <c r="E113" s="6" t="str">
        <f>VLOOKUP(B:B,'[2]Hakata Island Team'!$E:$H,4,)</f>
        <v>SPPL Fleet - B</v>
      </c>
      <c r="F113" s="6" t="s">
        <v>1621</v>
      </c>
      <c r="G113" s="6" t="s">
        <v>45</v>
      </c>
      <c r="H113" s="7"/>
      <c r="I113" s="6" t="s">
        <v>1572</v>
      </c>
      <c r="J113" s="6" t="s">
        <v>45</v>
      </c>
      <c r="K113" s="6" t="s">
        <v>45</v>
      </c>
      <c r="L113" s="10">
        <v>12</v>
      </c>
      <c r="M113" s="10">
        <v>3</v>
      </c>
      <c r="N113" s="6" t="s">
        <v>1537</v>
      </c>
      <c r="O113" s="6" t="s">
        <v>1036</v>
      </c>
      <c r="P113" s="27" t="s">
        <v>42</v>
      </c>
      <c r="Q113" s="7">
        <v>45991</v>
      </c>
      <c r="R113" s="7"/>
      <c r="S113" s="6" t="s">
        <v>45</v>
      </c>
      <c r="T113" s="7"/>
      <c r="U113" s="34"/>
    </row>
    <row r="114" spans="1:21" x14ac:dyDescent="0.35">
      <c r="A114" s="5" t="s">
        <v>1550</v>
      </c>
      <c r="B114" s="6" t="s">
        <v>1259</v>
      </c>
      <c r="C114" s="6" t="s">
        <v>1260</v>
      </c>
      <c r="D114" s="6" t="str">
        <f>VLOOKUP(B:B,'[2]Hakata Island Team'!$E:$G,3,)</f>
        <v>Rupak Chundayil Kalam</v>
      </c>
      <c r="E114" s="6" t="str">
        <f>VLOOKUP(B:B,'[2]Hakata Island Team'!$E:$H,4,)</f>
        <v>SPPL Fleet - B</v>
      </c>
      <c r="F114" s="6" t="s">
        <v>1551</v>
      </c>
      <c r="G114" s="6" t="s">
        <v>1035</v>
      </c>
      <c r="H114" s="7"/>
      <c r="I114" s="6" t="s">
        <v>1552</v>
      </c>
      <c r="J114" s="6" t="s">
        <v>45</v>
      </c>
      <c r="K114" s="6" t="s">
        <v>45</v>
      </c>
      <c r="L114" s="10">
        <v>12</v>
      </c>
      <c r="M114" s="10">
        <v>0</v>
      </c>
      <c r="N114" s="6" t="s">
        <v>1537</v>
      </c>
      <c r="O114" s="6" t="s">
        <v>1036</v>
      </c>
      <c r="P114" s="27" t="s">
        <v>42</v>
      </c>
      <c r="Q114" s="7">
        <v>46013</v>
      </c>
      <c r="R114" s="7"/>
      <c r="S114" s="6" t="s">
        <v>45</v>
      </c>
      <c r="T114" s="7"/>
      <c r="U114" s="34"/>
    </row>
    <row r="115" spans="1:21" x14ac:dyDescent="0.35">
      <c r="A115" s="5" t="s">
        <v>1350</v>
      </c>
      <c r="B115" s="6" t="s">
        <v>1259</v>
      </c>
      <c r="C115" s="6" t="s">
        <v>1260</v>
      </c>
      <c r="D115" s="6" t="str">
        <f>VLOOKUP(B:B,'[2]Hakata Island Team'!$E:$G,3,)</f>
        <v>Rupak Chundayil Kalam</v>
      </c>
      <c r="E115" s="6" t="str">
        <f>VLOOKUP(B:B,'[2]Hakata Island Team'!$E:$H,4,)</f>
        <v>SPPL Fleet - B</v>
      </c>
      <c r="F115" s="6" t="s">
        <v>45</v>
      </c>
      <c r="G115" s="6" t="s">
        <v>45</v>
      </c>
      <c r="H115" s="7"/>
      <c r="I115" s="6" t="s">
        <v>1351</v>
      </c>
      <c r="J115" s="6" t="s">
        <v>45</v>
      </c>
      <c r="K115" s="6" t="s">
        <v>45</v>
      </c>
      <c r="L115" s="10">
        <v>0</v>
      </c>
      <c r="M115" s="10">
        <v>0</v>
      </c>
      <c r="N115" s="6" t="s">
        <v>1537</v>
      </c>
      <c r="O115" s="6" t="s">
        <v>1036</v>
      </c>
      <c r="P115" s="27" t="s">
        <v>42</v>
      </c>
      <c r="Q115" s="7">
        <v>44567</v>
      </c>
      <c r="R115" s="7"/>
      <c r="S115" s="6" t="s">
        <v>45</v>
      </c>
      <c r="T115" s="7"/>
      <c r="U115" s="34"/>
    </row>
    <row r="116" spans="1:21" x14ac:dyDescent="0.35">
      <c r="A116" s="5" t="s">
        <v>1628</v>
      </c>
      <c r="B116" s="6" t="s">
        <v>1259</v>
      </c>
      <c r="C116" s="6" t="s">
        <v>1260</v>
      </c>
      <c r="D116" s="6" t="str">
        <f>VLOOKUP(B:B,'[2]Hakata Island Team'!$E:$G,3,)</f>
        <v>Rupak Chundayil Kalam</v>
      </c>
      <c r="E116" s="6" t="str">
        <f>VLOOKUP(B:B,'[2]Hakata Island Team'!$E:$H,4,)</f>
        <v>SPPL Fleet - B</v>
      </c>
      <c r="F116" s="6" t="s">
        <v>1542</v>
      </c>
      <c r="G116" s="6" t="s">
        <v>1035</v>
      </c>
      <c r="H116" s="7"/>
      <c r="I116" s="6" t="s">
        <v>1629</v>
      </c>
      <c r="J116" s="6" t="s">
        <v>45</v>
      </c>
      <c r="K116" s="6" t="s">
        <v>45</v>
      </c>
      <c r="L116" s="10">
        <v>12</v>
      </c>
      <c r="M116" s="10">
        <v>3</v>
      </c>
      <c r="N116" s="6" t="s">
        <v>1537</v>
      </c>
      <c r="O116" s="6" t="s">
        <v>1036</v>
      </c>
      <c r="P116" s="27" t="s">
        <v>42</v>
      </c>
      <c r="Q116" s="7">
        <v>45996</v>
      </c>
      <c r="R116" s="7"/>
      <c r="S116" s="6" t="s">
        <v>45</v>
      </c>
      <c r="T116" s="7"/>
      <c r="U116" s="34"/>
    </row>
    <row r="117" spans="1:21" x14ac:dyDescent="0.35">
      <c r="A117" s="5" t="s">
        <v>1630</v>
      </c>
      <c r="B117" s="6" t="s">
        <v>51</v>
      </c>
      <c r="C117" s="6" t="s">
        <v>1277</v>
      </c>
      <c r="D117" s="6" t="str">
        <f>VLOOKUP(B:B,'[2]Hakata Island Team'!$E:$G,3,)</f>
        <v>Rupak Chundayil Kalam</v>
      </c>
      <c r="E117" s="6" t="str">
        <f>VLOOKUP(B:B,'[2]Hakata Island Team'!$E:$H,4,)</f>
        <v>SPPL Fleet - B</v>
      </c>
      <c r="F117" s="6" t="s">
        <v>1581</v>
      </c>
      <c r="G117" s="6" t="s">
        <v>45</v>
      </c>
      <c r="H117" s="7"/>
      <c r="I117" s="6" t="s">
        <v>1631</v>
      </c>
      <c r="J117" s="6" t="s">
        <v>1632</v>
      </c>
      <c r="K117" s="6" t="s">
        <v>1632</v>
      </c>
      <c r="L117" s="10">
        <v>29</v>
      </c>
      <c r="M117" s="10">
        <v>3</v>
      </c>
      <c r="N117" s="6" t="s">
        <v>1537</v>
      </c>
      <c r="O117" s="6" t="s">
        <v>1028</v>
      </c>
      <c r="P117" s="27" t="s">
        <v>42</v>
      </c>
      <c r="Q117" s="7">
        <v>45801</v>
      </c>
      <c r="R117" s="7"/>
      <c r="S117" s="6" t="s">
        <v>45</v>
      </c>
      <c r="T117" s="7"/>
      <c r="U117" s="34"/>
    </row>
    <row r="118" spans="1:21" x14ac:dyDescent="0.35">
      <c r="A118" s="5" t="s">
        <v>1633</v>
      </c>
      <c r="B118" s="6" t="s">
        <v>51</v>
      </c>
      <c r="C118" s="6" t="s">
        <v>1277</v>
      </c>
      <c r="D118" s="6" t="str">
        <f>VLOOKUP(B:B,'[2]Hakata Island Team'!$E:$G,3,)</f>
        <v>Rupak Chundayil Kalam</v>
      </c>
      <c r="E118" s="6" t="str">
        <f>VLOOKUP(B:B,'[2]Hakata Island Team'!$E:$H,4,)</f>
        <v>SPPL Fleet - B</v>
      </c>
      <c r="F118" s="6" t="s">
        <v>1542</v>
      </c>
      <c r="G118" s="6" t="s">
        <v>1035</v>
      </c>
      <c r="H118" s="7">
        <v>46000</v>
      </c>
      <c r="I118" s="6" t="s">
        <v>1634</v>
      </c>
      <c r="J118" s="6" t="s">
        <v>45</v>
      </c>
      <c r="K118" s="6" t="s">
        <v>45</v>
      </c>
      <c r="L118" s="10">
        <v>12</v>
      </c>
      <c r="M118" s="10">
        <v>3</v>
      </c>
      <c r="N118" s="6" t="s">
        <v>1635</v>
      </c>
      <c r="O118" s="6" t="s">
        <v>1636</v>
      </c>
      <c r="P118" s="27" t="s">
        <v>42</v>
      </c>
      <c r="Q118" s="7">
        <v>45737</v>
      </c>
      <c r="R118" s="7"/>
      <c r="S118" s="6" t="s">
        <v>45</v>
      </c>
      <c r="T118" s="7"/>
      <c r="U118" s="34"/>
    </row>
    <row r="119" spans="1:21" x14ac:dyDescent="0.35">
      <c r="A119" s="5" t="s">
        <v>1550</v>
      </c>
      <c r="B119" s="6" t="s">
        <v>51</v>
      </c>
      <c r="C119" s="6" t="s">
        <v>1277</v>
      </c>
      <c r="D119" s="6" t="str">
        <f>VLOOKUP(B:B,'[2]Hakata Island Team'!$E:$G,3,)</f>
        <v>Rupak Chundayil Kalam</v>
      </c>
      <c r="E119" s="6" t="str">
        <f>VLOOKUP(B:B,'[2]Hakata Island Team'!$E:$H,4,)</f>
        <v>SPPL Fleet - B</v>
      </c>
      <c r="F119" s="6" t="s">
        <v>1551</v>
      </c>
      <c r="G119" s="6" t="s">
        <v>1035</v>
      </c>
      <c r="H119" s="7"/>
      <c r="I119" s="6" t="s">
        <v>1552</v>
      </c>
      <c r="J119" s="6" t="s">
        <v>45</v>
      </c>
      <c r="K119" s="6" t="s">
        <v>45</v>
      </c>
      <c r="L119" s="10">
        <v>12</v>
      </c>
      <c r="M119" s="10">
        <v>0</v>
      </c>
      <c r="N119" s="6" t="s">
        <v>1537</v>
      </c>
      <c r="O119" s="6" t="s">
        <v>1108</v>
      </c>
      <c r="P119" s="27" t="s">
        <v>42</v>
      </c>
      <c r="Q119" s="7">
        <v>46095</v>
      </c>
      <c r="R119" s="7"/>
      <c r="S119" s="6" t="s">
        <v>45</v>
      </c>
      <c r="T119" s="7"/>
      <c r="U119" s="34"/>
    </row>
    <row r="120" spans="1:21" x14ac:dyDescent="0.35">
      <c r="A120" s="5" t="s">
        <v>1324</v>
      </c>
      <c r="B120" s="6" t="s">
        <v>124</v>
      </c>
      <c r="C120" s="6" t="s">
        <v>725</v>
      </c>
      <c r="D120" s="6" t="str">
        <f>VLOOKUP(B:B,'[2]Hakata Island Team'!$E:$G,3,)</f>
        <v>Saravana Kumar Sundar</v>
      </c>
      <c r="E120" s="6" t="str">
        <f>VLOOKUP(B:B,'[2]Hakata Island Team'!$E:$H,4,)</f>
        <v xml:space="preserve">SPPL Fleet - A </v>
      </c>
      <c r="F120" s="6" t="s">
        <v>1542</v>
      </c>
      <c r="G120" s="6" t="s">
        <v>1035</v>
      </c>
      <c r="H120" s="7">
        <v>45618</v>
      </c>
      <c r="I120" s="6" t="s">
        <v>1325</v>
      </c>
      <c r="J120" s="6" t="s">
        <v>1637</v>
      </c>
      <c r="K120" s="6" t="s">
        <v>1638</v>
      </c>
      <c r="L120" s="10">
        <v>12</v>
      </c>
      <c r="M120" s="10">
        <v>3</v>
      </c>
      <c r="N120" s="6" t="s">
        <v>1639</v>
      </c>
      <c r="O120" s="6" t="s">
        <v>1028</v>
      </c>
      <c r="P120" s="27" t="s">
        <v>42</v>
      </c>
      <c r="Q120" s="7">
        <v>45252</v>
      </c>
      <c r="R120" s="7"/>
      <c r="S120" s="6" t="s">
        <v>1640</v>
      </c>
      <c r="T120" s="7">
        <v>45969</v>
      </c>
      <c r="U120" s="34"/>
    </row>
    <row r="121" spans="1:21" x14ac:dyDescent="0.35">
      <c r="A121" s="5" t="s">
        <v>1309</v>
      </c>
      <c r="B121" s="6" t="s">
        <v>124</v>
      </c>
      <c r="C121" s="6" t="s">
        <v>725</v>
      </c>
      <c r="D121" s="6" t="str">
        <f>VLOOKUP(B:B,'[2]Hakata Island Team'!$E:$G,3,)</f>
        <v>Saravana Kumar Sundar</v>
      </c>
      <c r="E121" s="6" t="str">
        <f>VLOOKUP(B:B,'[2]Hakata Island Team'!$E:$H,4,)</f>
        <v xml:space="preserve">SPPL Fleet - A </v>
      </c>
      <c r="F121" s="6" t="s">
        <v>1542</v>
      </c>
      <c r="G121" s="6" t="s">
        <v>1035</v>
      </c>
      <c r="H121" s="7">
        <v>45989</v>
      </c>
      <c r="I121" s="6" t="s">
        <v>1310</v>
      </c>
      <c r="J121" s="6" t="s">
        <v>1554</v>
      </c>
      <c r="K121" s="6" t="s">
        <v>1641</v>
      </c>
      <c r="L121" s="10">
        <v>12</v>
      </c>
      <c r="M121" s="10">
        <v>3</v>
      </c>
      <c r="N121" s="6" t="s">
        <v>1642</v>
      </c>
      <c r="O121" s="6" t="s">
        <v>1636</v>
      </c>
      <c r="P121" s="27" t="s">
        <v>42</v>
      </c>
      <c r="Q121" s="7">
        <v>45969</v>
      </c>
      <c r="R121" s="7"/>
      <c r="S121" s="6" t="s">
        <v>1643</v>
      </c>
      <c r="T121" s="7"/>
      <c r="U121" s="34">
        <v>45627</v>
      </c>
    </row>
    <row r="122" spans="1:21" x14ac:dyDescent="0.35">
      <c r="A122" s="5" t="s">
        <v>1644</v>
      </c>
      <c r="B122" s="6" t="s">
        <v>1645</v>
      </c>
      <c r="C122" s="6" t="s">
        <v>1646</v>
      </c>
      <c r="D122" s="6" t="str">
        <f>VLOOKUP(B:B,'[2]Hakata Island Team'!$E:$G,3,)</f>
        <v xml:space="preserve">Sameer Abdul Majeed </v>
      </c>
      <c r="E122" s="6" t="str">
        <f>VLOOKUP(B:B,'[2]Hakata Island Team'!$E:$H,4,)</f>
        <v>SPPL Fleet - C</v>
      </c>
      <c r="F122" s="6" t="s">
        <v>1647</v>
      </c>
      <c r="G122" s="6" t="s">
        <v>1541</v>
      </c>
      <c r="H122" s="7">
        <v>46178</v>
      </c>
      <c r="I122" s="6" t="s">
        <v>1648</v>
      </c>
      <c r="J122" s="6" t="s">
        <v>45</v>
      </c>
      <c r="K122" s="6" t="s">
        <v>45</v>
      </c>
      <c r="L122" s="10">
        <v>3</v>
      </c>
      <c r="M122" s="10">
        <v>0</v>
      </c>
      <c r="N122" s="6" t="s">
        <v>1537</v>
      </c>
      <c r="O122" s="6" t="s">
        <v>1036</v>
      </c>
      <c r="P122" s="27" t="s">
        <v>42</v>
      </c>
      <c r="Q122" s="7">
        <v>46086</v>
      </c>
      <c r="R122" s="7"/>
      <c r="S122" s="6" t="s">
        <v>45</v>
      </c>
      <c r="T122" s="7"/>
      <c r="U122" s="34"/>
    </row>
    <row r="123" spans="1:21" x14ac:dyDescent="0.35">
      <c r="A123" s="5" t="s">
        <v>1297</v>
      </c>
      <c r="B123" s="6" t="s">
        <v>489</v>
      </c>
      <c r="C123" s="6" t="s">
        <v>1582</v>
      </c>
      <c r="D123" s="6" t="str">
        <f>VLOOKUP(B:B,'[2]Hakata Island Team'!$E:$G,3,)</f>
        <v>Adarsh Munshi</v>
      </c>
      <c r="E123" s="6" t="str">
        <f>VLOOKUP(B:B,'[2]Hakata Island Team'!$E:$H,4,)</f>
        <v>SPPL Fleet - E</v>
      </c>
      <c r="F123" s="6" t="s">
        <v>1542</v>
      </c>
      <c r="G123" s="6" t="s">
        <v>1035</v>
      </c>
      <c r="H123" s="7">
        <v>46095</v>
      </c>
      <c r="I123" s="6" t="s">
        <v>1298</v>
      </c>
      <c r="J123" s="6" t="s">
        <v>45</v>
      </c>
      <c r="K123" s="6" t="s">
        <v>45</v>
      </c>
      <c r="L123" s="10">
        <v>12</v>
      </c>
      <c r="M123" s="10">
        <v>3</v>
      </c>
      <c r="N123" s="6" t="s">
        <v>1583</v>
      </c>
      <c r="O123" s="6" t="s">
        <v>1036</v>
      </c>
      <c r="P123" s="27" t="s">
        <v>42</v>
      </c>
      <c r="Q123" s="7">
        <v>45730</v>
      </c>
      <c r="R123" s="7"/>
      <c r="S123" s="6" t="s">
        <v>45</v>
      </c>
      <c r="T123" s="7"/>
      <c r="U123" s="34"/>
    </row>
    <row r="124" spans="1:21" x14ac:dyDescent="0.35">
      <c r="A124" s="5" t="s">
        <v>1324</v>
      </c>
      <c r="B124" s="6" t="s">
        <v>489</v>
      </c>
      <c r="C124" s="6" t="s">
        <v>1582</v>
      </c>
      <c r="D124" s="6" t="str">
        <f>VLOOKUP(B:B,'[2]Hakata Island Team'!$E:$G,3,)</f>
        <v>Adarsh Munshi</v>
      </c>
      <c r="E124" s="6" t="str">
        <f>VLOOKUP(B:B,'[2]Hakata Island Team'!$E:$H,4,)</f>
        <v>SPPL Fleet - E</v>
      </c>
      <c r="F124" s="6" t="s">
        <v>1542</v>
      </c>
      <c r="G124" s="6" t="s">
        <v>1035</v>
      </c>
      <c r="H124" s="7">
        <v>46098</v>
      </c>
      <c r="I124" s="6" t="s">
        <v>1325</v>
      </c>
      <c r="J124" s="6" t="s">
        <v>45</v>
      </c>
      <c r="K124" s="6" t="s">
        <v>45</v>
      </c>
      <c r="L124" s="10">
        <v>12</v>
      </c>
      <c r="M124" s="10">
        <v>3</v>
      </c>
      <c r="N124" s="6" t="s">
        <v>1649</v>
      </c>
      <c r="O124" s="6" t="s">
        <v>1036</v>
      </c>
      <c r="P124" s="27" t="s">
        <v>42</v>
      </c>
      <c r="Q124" s="7">
        <v>46098</v>
      </c>
      <c r="R124" s="7"/>
      <c r="S124" s="6" t="s">
        <v>45</v>
      </c>
      <c r="T124" s="7"/>
      <c r="U124" s="34">
        <v>45730</v>
      </c>
    </row>
    <row r="125" spans="1:21" x14ac:dyDescent="0.35">
      <c r="A125" s="5" t="s">
        <v>1360</v>
      </c>
      <c r="B125" s="6" t="s">
        <v>244</v>
      </c>
      <c r="C125" s="6" t="s">
        <v>1025</v>
      </c>
      <c r="D125" s="6" t="str">
        <f>VLOOKUP(B:B,'[2]Hakata Island Team'!$E:$G,3,)</f>
        <v>Shivam Sawant/Ponnappa</v>
      </c>
      <c r="E125" s="6" t="str">
        <f>VLOOKUP(B:B,'[2]Hakata Island Team'!$E:$H,4,)</f>
        <v>SPPL Fleet - F</v>
      </c>
      <c r="F125" s="6" t="s">
        <v>1542</v>
      </c>
      <c r="G125" s="6" t="s">
        <v>1035</v>
      </c>
      <c r="H125" s="7">
        <v>46044</v>
      </c>
      <c r="I125" s="6" t="s">
        <v>1361</v>
      </c>
      <c r="J125" s="6" t="s">
        <v>45</v>
      </c>
      <c r="K125" s="6" t="s">
        <v>45</v>
      </c>
      <c r="L125" s="10">
        <v>12</v>
      </c>
      <c r="M125" s="10">
        <v>3</v>
      </c>
      <c r="N125" s="6" t="s">
        <v>1650</v>
      </c>
      <c r="O125" s="6" t="s">
        <v>1036</v>
      </c>
      <c r="P125" s="27" t="s">
        <v>42</v>
      </c>
      <c r="Q125" s="7">
        <v>45679</v>
      </c>
      <c r="R125" s="7"/>
      <c r="S125" s="6" t="s">
        <v>45</v>
      </c>
      <c r="T125" s="7"/>
      <c r="U125" s="34">
        <v>45259</v>
      </c>
    </row>
    <row r="126" spans="1:21" x14ac:dyDescent="0.35">
      <c r="A126" s="5" t="s">
        <v>1321</v>
      </c>
      <c r="B126" s="6" t="s">
        <v>286</v>
      </c>
      <c r="C126" s="6" t="s">
        <v>1651</v>
      </c>
      <c r="D126" s="6" t="str">
        <f>VLOOKUP(B:B,'[2]Hakata Island Team'!$E:$G,3,)</f>
        <v>Shivam Sawant</v>
      </c>
      <c r="E126" s="6" t="str">
        <f>VLOOKUP(B:B,'[2]Hakata Island Team'!$E:$H,4,)</f>
        <v>SPPL Fleet - F</v>
      </c>
      <c r="F126" s="6" t="s">
        <v>1542</v>
      </c>
      <c r="G126" s="6" t="s">
        <v>1035</v>
      </c>
      <c r="H126" s="7">
        <v>46098</v>
      </c>
      <c r="I126" s="6" t="s">
        <v>1322</v>
      </c>
      <c r="J126" s="6" t="s">
        <v>45</v>
      </c>
      <c r="K126" s="6" t="s">
        <v>45</v>
      </c>
      <c r="L126" s="10">
        <v>12</v>
      </c>
      <c r="M126" s="10">
        <v>3</v>
      </c>
      <c r="N126" s="6" t="s">
        <v>1652</v>
      </c>
      <c r="O126" s="6" t="s">
        <v>1036</v>
      </c>
      <c r="P126" s="27" t="s">
        <v>42</v>
      </c>
      <c r="Q126" s="7">
        <v>45733</v>
      </c>
      <c r="R126" s="7"/>
      <c r="S126" s="6" t="s">
        <v>45</v>
      </c>
      <c r="T126" s="7"/>
      <c r="U126" s="34"/>
    </row>
    <row r="127" spans="1:21" x14ac:dyDescent="0.35">
      <c r="A127" s="5" t="s">
        <v>1186</v>
      </c>
      <c r="B127" s="6" t="s">
        <v>273</v>
      </c>
      <c r="C127" s="6" t="s">
        <v>1287</v>
      </c>
      <c r="D127" s="6" t="str">
        <f>VLOOKUP(B:B,'[2]Hakata Island Team'!$E:$G,3,)</f>
        <v>Umesh Sasle</v>
      </c>
      <c r="E127" s="6" t="str">
        <f>VLOOKUP(B:B,'[2]Hakata Island Team'!$E:$H,4,)</f>
        <v>SPPL Fleet - F</v>
      </c>
      <c r="F127" s="6" t="s">
        <v>1574</v>
      </c>
      <c r="G127" s="6" t="s">
        <v>1184</v>
      </c>
      <c r="H127" s="7">
        <v>46073</v>
      </c>
      <c r="I127" s="6" t="s">
        <v>1187</v>
      </c>
      <c r="J127" s="6" t="s">
        <v>1614</v>
      </c>
      <c r="K127" s="6" t="s">
        <v>45</v>
      </c>
      <c r="L127" s="10">
        <v>12</v>
      </c>
      <c r="M127" s="10">
        <v>0</v>
      </c>
      <c r="N127" s="6" t="s">
        <v>1537</v>
      </c>
      <c r="O127" s="6" t="s">
        <v>1036</v>
      </c>
      <c r="P127" s="27" t="s">
        <v>42</v>
      </c>
      <c r="Q127" s="7">
        <v>45708</v>
      </c>
      <c r="R127" s="7"/>
      <c r="S127" s="6" t="s">
        <v>1653</v>
      </c>
      <c r="T127" s="7"/>
      <c r="U127" s="34"/>
    </row>
    <row r="128" spans="1:21" x14ac:dyDescent="0.35">
      <c r="A128" s="5" t="s">
        <v>1186</v>
      </c>
      <c r="B128" s="6" t="s">
        <v>273</v>
      </c>
      <c r="C128" s="6" t="s">
        <v>1287</v>
      </c>
      <c r="D128" s="6" t="str">
        <f>VLOOKUP(B:B,'[2]Hakata Island Team'!$E:$G,3,)</f>
        <v>Umesh Sasle</v>
      </c>
      <c r="E128" s="6" t="str">
        <f>VLOOKUP(B:B,'[2]Hakata Island Team'!$E:$H,4,)</f>
        <v>SPPL Fleet - F</v>
      </c>
      <c r="F128" s="6" t="s">
        <v>1575</v>
      </c>
      <c r="G128" s="6" t="s">
        <v>1184</v>
      </c>
      <c r="H128" s="7">
        <v>46073</v>
      </c>
      <c r="I128" s="6" t="s">
        <v>1187</v>
      </c>
      <c r="J128" s="6" t="s">
        <v>1614</v>
      </c>
      <c r="K128" s="6" t="s">
        <v>45</v>
      </c>
      <c r="L128" s="10">
        <v>12</v>
      </c>
      <c r="M128" s="10">
        <v>0</v>
      </c>
      <c r="N128" s="6" t="s">
        <v>1537</v>
      </c>
      <c r="O128" s="6" t="s">
        <v>1036</v>
      </c>
      <c r="P128" s="27" t="s">
        <v>42</v>
      </c>
      <c r="Q128" s="7">
        <v>45708</v>
      </c>
      <c r="R128" s="7"/>
      <c r="S128" s="6" t="s">
        <v>1653</v>
      </c>
      <c r="T128" s="7"/>
      <c r="U128" s="34"/>
    </row>
    <row r="129" spans="1:21" x14ac:dyDescent="0.35">
      <c r="A129" s="5" t="s">
        <v>1186</v>
      </c>
      <c r="B129" s="6" t="s">
        <v>273</v>
      </c>
      <c r="C129" s="6" t="s">
        <v>1287</v>
      </c>
      <c r="D129" s="6" t="str">
        <f>VLOOKUP(B:B,'[2]Hakata Island Team'!$E:$G,3,)</f>
        <v>Umesh Sasle</v>
      </c>
      <c r="E129" s="6" t="str">
        <f>VLOOKUP(B:B,'[2]Hakata Island Team'!$E:$H,4,)</f>
        <v>SPPL Fleet - F</v>
      </c>
      <c r="F129" s="6" t="s">
        <v>1576</v>
      </c>
      <c r="G129" s="6" t="s">
        <v>1184</v>
      </c>
      <c r="H129" s="7">
        <v>46073</v>
      </c>
      <c r="I129" s="6" t="s">
        <v>1187</v>
      </c>
      <c r="J129" s="6" t="s">
        <v>1614</v>
      </c>
      <c r="K129" s="6" t="s">
        <v>45</v>
      </c>
      <c r="L129" s="10">
        <v>12</v>
      </c>
      <c r="M129" s="10">
        <v>0</v>
      </c>
      <c r="N129" s="6" t="s">
        <v>1537</v>
      </c>
      <c r="O129" s="6" t="s">
        <v>1036</v>
      </c>
      <c r="P129" s="27" t="s">
        <v>42</v>
      </c>
      <c r="Q129" s="7">
        <v>45708</v>
      </c>
      <c r="R129" s="7"/>
      <c r="S129" s="6" t="s">
        <v>1653</v>
      </c>
      <c r="T129" s="7"/>
      <c r="U129" s="34"/>
    </row>
    <row r="130" spans="1:21" x14ac:dyDescent="0.35">
      <c r="A130" s="5" t="s">
        <v>1186</v>
      </c>
      <c r="B130" s="6" t="s">
        <v>1605</v>
      </c>
      <c r="C130" s="6" t="s">
        <v>1606</v>
      </c>
      <c r="D130" s="6" t="str">
        <f>VLOOKUP(B:B,'[2]Hakata Island Team'!$E:$G,3,)</f>
        <v>Vinoth Kumar R</v>
      </c>
      <c r="E130" s="6" t="str">
        <f>VLOOKUP(B:B,'[2]Hakata Island Team'!$E:$H,4,)</f>
        <v xml:space="preserve">SPPL Fleet - A </v>
      </c>
      <c r="F130" s="6" t="s">
        <v>1574</v>
      </c>
      <c r="G130" s="6" t="s">
        <v>1184</v>
      </c>
      <c r="H130" s="7">
        <v>46149</v>
      </c>
      <c r="I130" s="6" t="s">
        <v>1187</v>
      </c>
      <c r="J130" s="6" t="s">
        <v>1654</v>
      </c>
      <c r="K130" s="6" t="s">
        <v>45</v>
      </c>
      <c r="L130" s="10">
        <v>12</v>
      </c>
      <c r="M130" s="10">
        <v>0</v>
      </c>
      <c r="N130" s="6" t="s">
        <v>1537</v>
      </c>
      <c r="O130" s="6" t="s">
        <v>1036</v>
      </c>
      <c r="P130" s="27" t="s">
        <v>42</v>
      </c>
      <c r="Q130" s="7">
        <v>45784</v>
      </c>
      <c r="R130" s="7"/>
      <c r="S130" s="6" t="s">
        <v>1655</v>
      </c>
      <c r="T130" s="7"/>
      <c r="U130" s="34"/>
    </row>
    <row r="131" spans="1:21" x14ac:dyDescent="0.35">
      <c r="A131" s="5" t="s">
        <v>1186</v>
      </c>
      <c r="B131" s="6" t="s">
        <v>1605</v>
      </c>
      <c r="C131" s="6" t="s">
        <v>1606</v>
      </c>
      <c r="D131" s="6" t="str">
        <f>VLOOKUP(B:B,'[2]Hakata Island Team'!$E:$G,3,)</f>
        <v>Vinoth Kumar R</v>
      </c>
      <c r="E131" s="6" t="str">
        <f>VLOOKUP(B:B,'[2]Hakata Island Team'!$E:$H,4,)</f>
        <v xml:space="preserve">SPPL Fleet - A </v>
      </c>
      <c r="F131" s="6" t="s">
        <v>1575</v>
      </c>
      <c r="G131" s="6" t="s">
        <v>1184</v>
      </c>
      <c r="H131" s="7">
        <v>46149</v>
      </c>
      <c r="I131" s="6" t="s">
        <v>1187</v>
      </c>
      <c r="J131" s="6" t="s">
        <v>1654</v>
      </c>
      <c r="K131" s="6" t="s">
        <v>45</v>
      </c>
      <c r="L131" s="10">
        <v>12</v>
      </c>
      <c r="M131" s="10">
        <v>0</v>
      </c>
      <c r="N131" s="6" t="s">
        <v>1537</v>
      </c>
      <c r="O131" s="6" t="s">
        <v>1036</v>
      </c>
      <c r="P131" s="27" t="s">
        <v>42</v>
      </c>
      <c r="Q131" s="7">
        <v>45784</v>
      </c>
      <c r="R131" s="7"/>
      <c r="S131" s="6" t="s">
        <v>1655</v>
      </c>
      <c r="T131" s="7"/>
      <c r="U131" s="34"/>
    </row>
    <row r="132" spans="1:21" x14ac:dyDescent="0.35">
      <c r="A132" s="5" t="s">
        <v>1186</v>
      </c>
      <c r="B132" s="6" t="s">
        <v>1605</v>
      </c>
      <c r="C132" s="6" t="s">
        <v>1606</v>
      </c>
      <c r="D132" s="6" t="str">
        <f>VLOOKUP(B:B,'[2]Hakata Island Team'!$E:$G,3,)</f>
        <v>Vinoth Kumar R</v>
      </c>
      <c r="E132" s="6" t="str">
        <f>VLOOKUP(B:B,'[2]Hakata Island Team'!$E:$H,4,)</f>
        <v xml:space="preserve">SPPL Fleet - A </v>
      </c>
      <c r="F132" s="6" t="s">
        <v>1576</v>
      </c>
      <c r="G132" s="6" t="s">
        <v>1184</v>
      </c>
      <c r="H132" s="7">
        <v>46149</v>
      </c>
      <c r="I132" s="6" t="s">
        <v>1187</v>
      </c>
      <c r="J132" s="6" t="s">
        <v>1654</v>
      </c>
      <c r="K132" s="6" t="s">
        <v>45</v>
      </c>
      <c r="L132" s="10">
        <v>12</v>
      </c>
      <c r="M132" s="10">
        <v>0</v>
      </c>
      <c r="N132" s="6" t="s">
        <v>1537</v>
      </c>
      <c r="O132" s="6" t="s">
        <v>1036</v>
      </c>
      <c r="P132" s="27" t="s">
        <v>42</v>
      </c>
      <c r="Q132" s="7">
        <v>45784</v>
      </c>
      <c r="R132" s="7"/>
      <c r="S132" s="6" t="s">
        <v>1655</v>
      </c>
      <c r="T132" s="7"/>
      <c r="U132" s="34"/>
    </row>
    <row r="133" spans="1:21" x14ac:dyDescent="0.35">
      <c r="A133" s="5" t="s">
        <v>1186</v>
      </c>
      <c r="B133" s="6" t="s">
        <v>1605</v>
      </c>
      <c r="C133" s="6" t="s">
        <v>1606</v>
      </c>
      <c r="D133" s="6" t="str">
        <f>VLOOKUP(B:B,'[2]Hakata Island Team'!$E:$G,3,)</f>
        <v>Vinoth Kumar R</v>
      </c>
      <c r="E133" s="6" t="str">
        <f>VLOOKUP(B:B,'[2]Hakata Island Team'!$E:$H,4,)</f>
        <v xml:space="preserve">SPPL Fleet - A </v>
      </c>
      <c r="F133" s="6" t="s">
        <v>1577</v>
      </c>
      <c r="G133" s="6" t="s">
        <v>1184</v>
      </c>
      <c r="H133" s="7">
        <v>46149</v>
      </c>
      <c r="I133" s="6" t="s">
        <v>1187</v>
      </c>
      <c r="J133" s="6" t="s">
        <v>1654</v>
      </c>
      <c r="K133" s="6" t="s">
        <v>45</v>
      </c>
      <c r="L133" s="10">
        <v>12</v>
      </c>
      <c r="M133" s="10">
        <v>0</v>
      </c>
      <c r="N133" s="6" t="s">
        <v>1537</v>
      </c>
      <c r="O133" s="6" t="s">
        <v>1036</v>
      </c>
      <c r="P133" s="27" t="s">
        <v>42</v>
      </c>
      <c r="Q133" s="7">
        <v>45784</v>
      </c>
      <c r="R133" s="7"/>
      <c r="S133" s="6" t="s">
        <v>1655</v>
      </c>
      <c r="T133" s="7"/>
      <c r="U133" s="34"/>
    </row>
    <row r="134" spans="1:21" x14ac:dyDescent="0.35">
      <c r="A134" s="5" t="s">
        <v>1186</v>
      </c>
      <c r="B134" s="6" t="s">
        <v>1605</v>
      </c>
      <c r="C134" s="6" t="s">
        <v>1606</v>
      </c>
      <c r="D134" s="6" t="str">
        <f>VLOOKUP(B:B,'[2]Hakata Island Team'!$E:$G,3,)</f>
        <v>Vinoth Kumar R</v>
      </c>
      <c r="E134" s="6" t="str">
        <f>VLOOKUP(B:B,'[2]Hakata Island Team'!$E:$H,4,)</f>
        <v xml:space="preserve">SPPL Fleet - A </v>
      </c>
      <c r="F134" s="6" t="s">
        <v>1578</v>
      </c>
      <c r="G134" s="6" t="s">
        <v>1184</v>
      </c>
      <c r="H134" s="7">
        <v>46149</v>
      </c>
      <c r="I134" s="6" t="s">
        <v>1187</v>
      </c>
      <c r="J134" s="6" t="s">
        <v>1654</v>
      </c>
      <c r="K134" s="6" t="s">
        <v>45</v>
      </c>
      <c r="L134" s="10">
        <v>12</v>
      </c>
      <c r="M134" s="10">
        <v>0</v>
      </c>
      <c r="N134" s="6" t="s">
        <v>1537</v>
      </c>
      <c r="O134" s="6" t="s">
        <v>1036</v>
      </c>
      <c r="P134" s="27" t="s">
        <v>42</v>
      </c>
      <c r="Q134" s="7">
        <v>45784</v>
      </c>
      <c r="R134" s="7"/>
      <c r="S134" s="6" t="s">
        <v>1655</v>
      </c>
      <c r="T134" s="7"/>
      <c r="U134" s="34"/>
    </row>
    <row r="135" spans="1:21" x14ac:dyDescent="0.35">
      <c r="A135" s="5" t="s">
        <v>1286</v>
      </c>
      <c r="B135" s="6" t="s">
        <v>1291</v>
      </c>
      <c r="C135" s="6" t="s">
        <v>1292</v>
      </c>
      <c r="D135" s="6" t="str">
        <f>VLOOKUP(B:B,'[2]Hakata Island Team'!$E:$G,3,)</f>
        <v>Vinoth Kumar R</v>
      </c>
      <c r="E135" s="6" t="str">
        <f>VLOOKUP(B:B,'[2]Hakata Island Team'!$E:$H,4,)</f>
        <v xml:space="preserve">SPPL Fleet - A </v>
      </c>
      <c r="F135" s="6" t="s">
        <v>1542</v>
      </c>
      <c r="G135" s="6" t="s">
        <v>1035</v>
      </c>
      <c r="H135" s="7">
        <v>45116</v>
      </c>
      <c r="I135" s="6" t="s">
        <v>1288</v>
      </c>
      <c r="J135" s="6" t="s">
        <v>45</v>
      </c>
      <c r="K135" s="6" t="s">
        <v>45</v>
      </c>
      <c r="L135" s="10">
        <v>12</v>
      </c>
      <c r="M135" s="10">
        <v>3</v>
      </c>
      <c r="N135" s="6" t="s">
        <v>1656</v>
      </c>
      <c r="O135" s="6" t="s">
        <v>1125</v>
      </c>
      <c r="P135" s="27" t="s">
        <v>42</v>
      </c>
      <c r="Q135" s="7">
        <v>46177</v>
      </c>
      <c r="R135" s="7"/>
      <c r="S135" s="6" t="s">
        <v>45</v>
      </c>
      <c r="T135" s="7"/>
      <c r="U135" s="34">
        <v>44634</v>
      </c>
    </row>
    <row r="136" spans="1:21" x14ac:dyDescent="0.35">
      <c r="A136" s="5" t="s">
        <v>1630</v>
      </c>
      <c r="B136" s="6" t="s">
        <v>1657</v>
      </c>
      <c r="C136" s="6" t="s">
        <v>1658</v>
      </c>
      <c r="D136" s="6" t="str">
        <f>VLOOKUP(B:B,'[2]Hakata Island Team'!$E:$G,3,)</f>
        <v>Praveen Kumar</v>
      </c>
      <c r="E136" s="6" t="str">
        <f>VLOOKUP(B:B,'[2]Hakata Island Team'!$E:$H,4,)</f>
        <v>SPPL Fleet - G</v>
      </c>
      <c r="F136" s="6" t="s">
        <v>1581</v>
      </c>
      <c r="G136" s="6" t="s">
        <v>1433</v>
      </c>
      <c r="H136" s="7">
        <v>46034</v>
      </c>
      <c r="I136" s="6" t="s">
        <v>1631</v>
      </c>
      <c r="J136" s="6" t="s">
        <v>45</v>
      </c>
      <c r="K136" s="6" t="s">
        <v>45</v>
      </c>
      <c r="L136" s="10">
        <v>0</v>
      </c>
      <c r="M136" s="10">
        <v>0</v>
      </c>
      <c r="N136" s="6" t="s">
        <v>1659</v>
      </c>
      <c r="O136" s="6" t="s">
        <v>1036</v>
      </c>
      <c r="P136" s="27" t="s">
        <v>42</v>
      </c>
      <c r="Q136" s="7">
        <v>46034</v>
      </c>
      <c r="R136" s="7"/>
      <c r="S136" s="6" t="s">
        <v>45</v>
      </c>
      <c r="T136" s="7"/>
      <c r="U136" s="34">
        <v>45294</v>
      </c>
    </row>
    <row r="137" spans="1:21" x14ac:dyDescent="0.35">
      <c r="A137" s="5" t="s">
        <v>1548</v>
      </c>
      <c r="B137" s="6" t="s">
        <v>1657</v>
      </c>
      <c r="C137" s="6" t="s">
        <v>1658</v>
      </c>
      <c r="D137" s="6" t="str">
        <f>VLOOKUP(B:B,'[2]Hakata Island Team'!$E:$G,3,)</f>
        <v>Praveen Kumar</v>
      </c>
      <c r="E137" s="6" t="str">
        <f>VLOOKUP(B:B,'[2]Hakata Island Team'!$E:$H,4,)</f>
        <v>SPPL Fleet - G</v>
      </c>
      <c r="F137" s="6" t="s">
        <v>1542</v>
      </c>
      <c r="G137" s="6" t="s">
        <v>1035</v>
      </c>
      <c r="H137" s="7">
        <v>45848</v>
      </c>
      <c r="I137" s="6" t="s">
        <v>1549</v>
      </c>
      <c r="J137" s="6" t="s">
        <v>1660</v>
      </c>
      <c r="K137" s="6" t="s">
        <v>1661</v>
      </c>
      <c r="L137" s="10">
        <v>12</v>
      </c>
      <c r="M137" s="10">
        <v>3</v>
      </c>
      <c r="N137" s="6" t="s">
        <v>1662</v>
      </c>
      <c r="O137" s="6" t="s">
        <v>1036</v>
      </c>
      <c r="P137" s="27" t="s">
        <v>42</v>
      </c>
      <c r="Q137" s="7">
        <v>45117</v>
      </c>
      <c r="R137" s="7"/>
      <c r="S137" s="6" t="s">
        <v>1663</v>
      </c>
      <c r="T137" s="7"/>
      <c r="U137" s="34">
        <v>45528</v>
      </c>
    </row>
    <row r="138" spans="1:21" x14ac:dyDescent="0.35">
      <c r="A138" s="5" t="s">
        <v>1548</v>
      </c>
      <c r="B138" s="6" t="s">
        <v>1657</v>
      </c>
      <c r="C138" s="6" t="s">
        <v>1658</v>
      </c>
      <c r="D138" s="6" t="str">
        <f>VLOOKUP(B:B,'[2]Hakata Island Team'!$E:$G,3,)</f>
        <v>Praveen Kumar</v>
      </c>
      <c r="E138" s="6" t="str">
        <f>VLOOKUP(B:B,'[2]Hakata Island Team'!$E:$H,4,)</f>
        <v>SPPL Fleet - G</v>
      </c>
      <c r="F138" s="6" t="s">
        <v>1613</v>
      </c>
      <c r="G138" s="6" t="s">
        <v>45</v>
      </c>
      <c r="H138" s="7">
        <v>45483</v>
      </c>
      <c r="I138" s="6" t="s">
        <v>1549</v>
      </c>
      <c r="J138" s="6" t="s">
        <v>45</v>
      </c>
      <c r="K138" s="6" t="s">
        <v>45</v>
      </c>
      <c r="L138" s="10">
        <v>0</v>
      </c>
      <c r="M138" s="10">
        <v>0</v>
      </c>
      <c r="N138" s="6" t="s">
        <v>1664</v>
      </c>
      <c r="O138" s="6" t="s">
        <v>1036</v>
      </c>
      <c r="P138" s="27" t="s">
        <v>42</v>
      </c>
      <c r="Q138" s="7">
        <v>45117</v>
      </c>
      <c r="R138" s="7"/>
      <c r="S138" s="6" t="s">
        <v>45</v>
      </c>
      <c r="T138" s="7"/>
      <c r="U138" s="34">
        <v>45528</v>
      </c>
    </row>
    <row r="139" spans="1:21" x14ac:dyDescent="0.35">
      <c r="A139" s="5" t="s">
        <v>1252</v>
      </c>
      <c r="B139" s="6" t="s">
        <v>1657</v>
      </c>
      <c r="C139" s="6" t="s">
        <v>1658</v>
      </c>
      <c r="D139" s="6" t="str">
        <f>VLOOKUP(B:B,'[2]Hakata Island Team'!$E:$G,3,)</f>
        <v>Praveen Kumar</v>
      </c>
      <c r="E139" s="6" t="str">
        <f>VLOOKUP(B:B,'[2]Hakata Island Team'!$E:$H,4,)</f>
        <v>SPPL Fleet - G</v>
      </c>
      <c r="F139" s="6" t="s">
        <v>1581</v>
      </c>
      <c r="G139" s="6" t="s">
        <v>1433</v>
      </c>
      <c r="H139" s="7">
        <v>46034</v>
      </c>
      <c r="I139" s="6" t="s">
        <v>1253</v>
      </c>
      <c r="J139" s="6" t="s">
        <v>45</v>
      </c>
      <c r="K139" s="6" t="s">
        <v>45</v>
      </c>
      <c r="L139" s="10">
        <v>0</v>
      </c>
      <c r="M139" s="10">
        <v>0</v>
      </c>
      <c r="N139" s="6" t="s">
        <v>1659</v>
      </c>
      <c r="O139" s="6" t="s">
        <v>1036</v>
      </c>
      <c r="P139" s="27" t="s">
        <v>42</v>
      </c>
      <c r="Q139" s="7">
        <v>46034</v>
      </c>
      <c r="R139" s="7"/>
      <c r="S139" s="6" t="s">
        <v>45</v>
      </c>
      <c r="T139" s="7"/>
      <c r="U139" s="34">
        <v>45294</v>
      </c>
    </row>
    <row r="140" spans="1:21" x14ac:dyDescent="0.35">
      <c r="A140" s="5" t="s">
        <v>1321</v>
      </c>
      <c r="B140" s="6" t="s">
        <v>1657</v>
      </c>
      <c r="C140" s="6" t="s">
        <v>1658</v>
      </c>
      <c r="D140" s="6" t="str">
        <f>VLOOKUP(B:B,'[2]Hakata Island Team'!$E:$G,3,)</f>
        <v>Praveen Kumar</v>
      </c>
      <c r="E140" s="6" t="str">
        <f>VLOOKUP(B:B,'[2]Hakata Island Team'!$E:$H,4,)</f>
        <v>SPPL Fleet - G</v>
      </c>
      <c r="F140" s="6" t="s">
        <v>1542</v>
      </c>
      <c r="G140" s="6" t="s">
        <v>1035</v>
      </c>
      <c r="H140" s="7">
        <v>45483</v>
      </c>
      <c r="I140" s="6" t="s">
        <v>1322</v>
      </c>
      <c r="J140" s="6" t="s">
        <v>1546</v>
      </c>
      <c r="K140" s="6" t="s">
        <v>1665</v>
      </c>
      <c r="L140" s="10">
        <v>12</v>
      </c>
      <c r="M140" s="10">
        <v>3</v>
      </c>
      <c r="N140" s="6" t="s">
        <v>1664</v>
      </c>
      <c r="O140" s="6" t="s">
        <v>1036</v>
      </c>
      <c r="P140" s="27" t="s">
        <v>42</v>
      </c>
      <c r="Q140" s="7">
        <v>45117</v>
      </c>
      <c r="R140" s="7"/>
      <c r="S140" s="6" t="s">
        <v>1663</v>
      </c>
      <c r="T140" s="7"/>
      <c r="U140" s="34">
        <v>45528</v>
      </c>
    </row>
    <row r="141" spans="1:21" x14ac:dyDescent="0.35">
      <c r="A141" s="5" t="s">
        <v>1297</v>
      </c>
      <c r="B141" s="6" t="s">
        <v>1657</v>
      </c>
      <c r="C141" s="6" t="s">
        <v>1658</v>
      </c>
      <c r="D141" s="6" t="str">
        <f>VLOOKUP(B:B,'[2]Hakata Island Team'!$E:$G,3,)</f>
        <v>Praveen Kumar</v>
      </c>
      <c r="E141" s="6" t="str">
        <f>VLOOKUP(B:B,'[2]Hakata Island Team'!$E:$H,4,)</f>
        <v>SPPL Fleet - G</v>
      </c>
      <c r="F141" s="6" t="s">
        <v>1534</v>
      </c>
      <c r="G141" s="6" t="s">
        <v>1535</v>
      </c>
      <c r="H141" s="7">
        <v>46001</v>
      </c>
      <c r="I141" s="6" t="s">
        <v>1298</v>
      </c>
      <c r="J141" s="6" t="s">
        <v>45</v>
      </c>
      <c r="K141" s="6" t="s">
        <v>45</v>
      </c>
      <c r="L141" s="10">
        <v>0</v>
      </c>
      <c r="M141" s="10">
        <v>0</v>
      </c>
      <c r="N141" s="6" t="s">
        <v>1537</v>
      </c>
      <c r="O141" s="6" t="s">
        <v>1036</v>
      </c>
      <c r="P141" s="27" t="s">
        <v>42</v>
      </c>
      <c r="Q141" s="7">
        <v>45117</v>
      </c>
      <c r="R141" s="7"/>
      <c r="S141" s="6" t="s">
        <v>45</v>
      </c>
      <c r="T141" s="7"/>
      <c r="U141" s="34"/>
    </row>
    <row r="142" spans="1:21" x14ac:dyDescent="0.35">
      <c r="A142" s="5" t="s">
        <v>1297</v>
      </c>
      <c r="B142" s="6" t="s">
        <v>1657</v>
      </c>
      <c r="C142" s="6" t="s">
        <v>1658</v>
      </c>
      <c r="D142" s="6" t="str">
        <f>VLOOKUP(B:B,'[2]Hakata Island Team'!$E:$G,3,)</f>
        <v>Praveen Kumar</v>
      </c>
      <c r="E142" s="6" t="str">
        <f>VLOOKUP(B:B,'[2]Hakata Island Team'!$E:$H,4,)</f>
        <v>SPPL Fleet - G</v>
      </c>
      <c r="F142" s="6" t="s">
        <v>1538</v>
      </c>
      <c r="G142" s="6" t="s">
        <v>1535</v>
      </c>
      <c r="H142" s="7">
        <v>46001</v>
      </c>
      <c r="I142" s="6" t="s">
        <v>1298</v>
      </c>
      <c r="J142" s="6" t="s">
        <v>45</v>
      </c>
      <c r="K142" s="6" t="s">
        <v>45</v>
      </c>
      <c r="L142" s="10">
        <v>29</v>
      </c>
      <c r="M142" s="10">
        <v>0</v>
      </c>
      <c r="N142" s="6" t="s">
        <v>1537</v>
      </c>
      <c r="O142" s="6" t="s">
        <v>1036</v>
      </c>
      <c r="P142" s="27" t="s">
        <v>42</v>
      </c>
      <c r="Q142" s="7">
        <v>45117</v>
      </c>
      <c r="R142" s="7"/>
      <c r="S142" s="6" t="s">
        <v>45</v>
      </c>
      <c r="T142" s="7"/>
      <c r="U142" s="34"/>
    </row>
    <row r="143" spans="1:21" x14ac:dyDescent="0.35">
      <c r="A143" s="5" t="s">
        <v>1297</v>
      </c>
      <c r="B143" s="6" t="s">
        <v>1657</v>
      </c>
      <c r="C143" s="6" t="s">
        <v>1658</v>
      </c>
      <c r="D143" s="6" t="str">
        <f>VLOOKUP(B:B,'[2]Hakata Island Team'!$E:$G,3,)</f>
        <v>Praveen Kumar</v>
      </c>
      <c r="E143" s="6" t="str">
        <f>VLOOKUP(B:B,'[2]Hakata Island Team'!$E:$H,4,)</f>
        <v>SPPL Fleet - G</v>
      </c>
      <c r="F143" s="6" t="s">
        <v>1542</v>
      </c>
      <c r="G143" s="6" t="s">
        <v>1035</v>
      </c>
      <c r="H143" s="7">
        <v>45893</v>
      </c>
      <c r="I143" s="6" t="s">
        <v>1298</v>
      </c>
      <c r="J143" s="6" t="s">
        <v>45</v>
      </c>
      <c r="K143" s="6" t="s">
        <v>45</v>
      </c>
      <c r="L143" s="10">
        <v>12</v>
      </c>
      <c r="M143" s="10">
        <v>3</v>
      </c>
      <c r="N143" s="6" t="s">
        <v>1666</v>
      </c>
      <c r="O143" s="6" t="s">
        <v>1036</v>
      </c>
      <c r="P143" s="27" t="s">
        <v>42</v>
      </c>
      <c r="Q143" s="7">
        <v>45117</v>
      </c>
      <c r="R143" s="7"/>
      <c r="S143" s="6" t="s">
        <v>45</v>
      </c>
      <c r="T143" s="7"/>
      <c r="U143" s="34">
        <v>45528</v>
      </c>
    </row>
    <row r="144" spans="1:21" x14ac:dyDescent="0.35">
      <c r="A144" s="5" t="s">
        <v>1309</v>
      </c>
      <c r="B144" s="6" t="s">
        <v>1657</v>
      </c>
      <c r="C144" s="6" t="s">
        <v>1658</v>
      </c>
      <c r="D144" s="6" t="str">
        <f>VLOOKUP(B:B,'[2]Hakata Island Team'!$E:$G,3,)</f>
        <v>Praveen Kumar</v>
      </c>
      <c r="E144" s="6" t="str">
        <f>VLOOKUP(B:B,'[2]Hakata Island Team'!$E:$H,4,)</f>
        <v>SPPL Fleet - G</v>
      </c>
      <c r="F144" s="6" t="s">
        <v>1542</v>
      </c>
      <c r="G144" s="6" t="s">
        <v>1035</v>
      </c>
      <c r="H144" s="7">
        <v>45893</v>
      </c>
      <c r="I144" s="6" t="s">
        <v>1310</v>
      </c>
      <c r="J144" s="6" t="s">
        <v>45</v>
      </c>
      <c r="K144" s="6" t="s">
        <v>45</v>
      </c>
      <c r="L144" s="10">
        <v>12</v>
      </c>
      <c r="M144" s="10">
        <v>3</v>
      </c>
      <c r="N144" s="6" t="s">
        <v>1666</v>
      </c>
      <c r="O144" s="6" t="s">
        <v>1036</v>
      </c>
      <c r="P144" s="27" t="s">
        <v>42</v>
      </c>
      <c r="Q144" s="7">
        <v>45254</v>
      </c>
      <c r="R144" s="7"/>
      <c r="S144" s="6" t="s">
        <v>45</v>
      </c>
      <c r="T144" s="7"/>
      <c r="U144" s="34">
        <v>45528</v>
      </c>
    </row>
    <row r="145" spans="1:21" x14ac:dyDescent="0.35">
      <c r="A145" s="5" t="s">
        <v>1573</v>
      </c>
      <c r="B145" s="6" t="s">
        <v>906</v>
      </c>
      <c r="C145" s="6" t="s">
        <v>907</v>
      </c>
      <c r="D145" s="6" t="str">
        <f>VLOOKUP(B:B,'[2]Hakata Island Team'!$E:$G,3,)</f>
        <v>Senthilvelan</v>
      </c>
      <c r="E145" s="6" t="str">
        <f>VLOOKUP(B:B,'[2]Hakata Island Team'!$E:$H,4,)</f>
        <v xml:space="preserve">SPPL Fleet - A </v>
      </c>
      <c r="F145" s="6" t="s">
        <v>1574</v>
      </c>
      <c r="G145" s="6" t="s">
        <v>1184</v>
      </c>
      <c r="H145" s="7">
        <v>46173</v>
      </c>
      <c r="I145" s="6" t="s">
        <v>1026</v>
      </c>
      <c r="J145" s="6" t="s">
        <v>45</v>
      </c>
      <c r="K145" s="6" t="s">
        <v>45</v>
      </c>
      <c r="L145" s="10">
        <v>12</v>
      </c>
      <c r="M145" s="10">
        <v>0</v>
      </c>
      <c r="N145" s="6" t="s">
        <v>1537</v>
      </c>
      <c r="O145" s="6" t="s">
        <v>1050</v>
      </c>
      <c r="P145" s="27" t="s">
        <v>42</v>
      </c>
      <c r="Q145" s="7">
        <v>45808</v>
      </c>
      <c r="R145" s="7"/>
      <c r="S145" s="6" t="s">
        <v>45</v>
      </c>
      <c r="T145" s="7"/>
      <c r="U145" s="34"/>
    </row>
    <row r="146" spans="1:21" x14ac:dyDescent="0.35">
      <c r="A146" s="5" t="s">
        <v>1360</v>
      </c>
      <c r="B146" s="6" t="s">
        <v>463</v>
      </c>
      <c r="C146" s="6" t="s">
        <v>1667</v>
      </c>
      <c r="D146" s="6" t="str">
        <f>VLOOKUP(B:B,'[2]Hakata Island Team'!$E:$G,3,)</f>
        <v>Ramu Boopathy</v>
      </c>
      <c r="E146" s="6" t="str">
        <f>VLOOKUP(B:B,'[2]Hakata Island Team'!$E:$H,4,)</f>
        <v xml:space="preserve">SPPL Fleet - A </v>
      </c>
      <c r="F146" s="6" t="s">
        <v>1542</v>
      </c>
      <c r="G146" s="6" t="s">
        <v>1035</v>
      </c>
      <c r="H146" s="7">
        <v>46070</v>
      </c>
      <c r="I146" s="6" t="s">
        <v>1361</v>
      </c>
      <c r="J146" s="6" t="s">
        <v>45</v>
      </c>
      <c r="K146" s="6" t="s">
        <v>45</v>
      </c>
      <c r="L146" s="10">
        <v>12</v>
      </c>
      <c r="M146" s="10">
        <v>3</v>
      </c>
      <c r="N146" s="6" t="s">
        <v>1593</v>
      </c>
      <c r="O146" s="6" t="s">
        <v>1036</v>
      </c>
      <c r="P146" s="27" t="s">
        <v>42</v>
      </c>
      <c r="Q146" s="7">
        <v>45378</v>
      </c>
      <c r="R146" s="7"/>
      <c r="S146" s="6" t="s">
        <v>45</v>
      </c>
      <c r="T146" s="7"/>
      <c r="U146" s="34">
        <v>45705</v>
      </c>
    </row>
    <row r="147" spans="1:21" x14ac:dyDescent="0.35">
      <c r="A147" s="5" t="s">
        <v>1286</v>
      </c>
      <c r="B147" s="6" t="s">
        <v>991</v>
      </c>
      <c r="C147" s="6" t="s">
        <v>1610</v>
      </c>
      <c r="D147" s="6" t="str">
        <f>VLOOKUP(B:B,'[2]Hakata Island Team'!$E:$G,3,)</f>
        <v>Praveen Kumar</v>
      </c>
      <c r="E147" s="6" t="str">
        <f>VLOOKUP(B:B,'[2]Hakata Island Team'!$E:$H,4,)</f>
        <v>SPPL Fleet - G</v>
      </c>
      <c r="F147" s="6" t="s">
        <v>1542</v>
      </c>
      <c r="G147" s="6" t="s">
        <v>1035</v>
      </c>
      <c r="H147" s="7">
        <v>45998</v>
      </c>
      <c r="I147" s="6" t="s">
        <v>1288</v>
      </c>
      <c r="J147" s="6" t="s">
        <v>45</v>
      </c>
      <c r="K147" s="6" t="s">
        <v>45</v>
      </c>
      <c r="L147" s="10">
        <v>12</v>
      </c>
      <c r="M147" s="10">
        <v>3</v>
      </c>
      <c r="N147" s="6" t="s">
        <v>1612</v>
      </c>
      <c r="O147" s="6" t="s">
        <v>1036</v>
      </c>
      <c r="P147" s="27" t="s">
        <v>42</v>
      </c>
      <c r="Q147" s="7">
        <v>46014</v>
      </c>
      <c r="R147" s="7"/>
      <c r="S147" s="6" t="s">
        <v>45</v>
      </c>
      <c r="T147" s="7"/>
      <c r="U147" s="34">
        <v>45514</v>
      </c>
    </row>
    <row r="148" spans="1:21" x14ac:dyDescent="0.35">
      <c r="A148" s="5" t="s">
        <v>1315</v>
      </c>
      <c r="B148" s="6" t="s">
        <v>620</v>
      </c>
      <c r="C148" s="6" t="s">
        <v>1590</v>
      </c>
      <c r="D148" s="6" t="str">
        <f>VLOOKUP(B:B,'[2]Hakata Island Team'!$E:$G,3,)</f>
        <v>Santosh Kulkarni</v>
      </c>
      <c r="E148" s="6" t="str">
        <f>VLOOKUP(B:B,'[2]Hakata Island Team'!$E:$H,4,)</f>
        <v>SPPL Fleet - F</v>
      </c>
      <c r="F148" s="6" t="s">
        <v>1581</v>
      </c>
      <c r="G148" s="6" t="s">
        <v>1433</v>
      </c>
      <c r="H148" s="7">
        <v>46023</v>
      </c>
      <c r="I148" s="6" t="s">
        <v>1316</v>
      </c>
      <c r="J148" s="6" t="s">
        <v>45</v>
      </c>
      <c r="K148" s="6" t="s">
        <v>45</v>
      </c>
      <c r="L148" s="10">
        <v>29</v>
      </c>
      <c r="M148" s="10">
        <v>3</v>
      </c>
      <c r="N148" s="6" t="s">
        <v>1547</v>
      </c>
      <c r="O148" s="6" t="s">
        <v>1036</v>
      </c>
      <c r="P148" s="27" t="s">
        <v>42</v>
      </c>
      <c r="Q148" s="7">
        <v>45876</v>
      </c>
      <c r="R148" s="7"/>
      <c r="S148" s="6" t="s">
        <v>45</v>
      </c>
      <c r="T148" s="7"/>
      <c r="U148" s="34"/>
    </row>
    <row r="149" spans="1:21" x14ac:dyDescent="0.35">
      <c r="A149" s="5" t="s">
        <v>1573</v>
      </c>
      <c r="B149" s="6" t="s">
        <v>1532</v>
      </c>
      <c r="C149" s="6" t="s">
        <v>1533</v>
      </c>
      <c r="D149" s="6" t="str">
        <f>VLOOKUP(B:B,'[2]Hakata Island Team'!$E:$G,3,)</f>
        <v>Praveen Kumar</v>
      </c>
      <c r="E149" s="6" t="str">
        <f>VLOOKUP(B:B,'[2]Hakata Island Team'!$E:$H,4,)</f>
        <v>SPPL Fleet - G</v>
      </c>
      <c r="F149" s="6" t="s">
        <v>1574</v>
      </c>
      <c r="G149" s="6" t="s">
        <v>1184</v>
      </c>
      <c r="H149" s="7">
        <v>45966</v>
      </c>
      <c r="I149" s="6" t="s">
        <v>1026</v>
      </c>
      <c r="J149" s="6" t="s">
        <v>45</v>
      </c>
      <c r="K149" s="6" t="s">
        <v>45</v>
      </c>
      <c r="L149" s="10">
        <v>12</v>
      </c>
      <c r="M149" s="10">
        <v>0</v>
      </c>
      <c r="N149" s="6" t="s">
        <v>1537</v>
      </c>
      <c r="O149" s="6" t="s">
        <v>1036</v>
      </c>
      <c r="P149" s="27" t="s">
        <v>42</v>
      </c>
      <c r="Q149" s="7">
        <v>45601</v>
      </c>
      <c r="R149" s="7"/>
      <c r="S149" s="6" t="s">
        <v>45</v>
      </c>
      <c r="T149" s="7"/>
      <c r="U149" s="34"/>
    </row>
    <row r="150" spans="1:21" x14ac:dyDescent="0.35">
      <c r="A150" s="5" t="s">
        <v>1573</v>
      </c>
      <c r="B150" s="6" t="s">
        <v>1532</v>
      </c>
      <c r="C150" s="6" t="s">
        <v>1533</v>
      </c>
      <c r="D150" s="6" t="str">
        <f>VLOOKUP(B:B,'[2]Hakata Island Team'!$E:$G,3,)</f>
        <v>Praveen Kumar</v>
      </c>
      <c r="E150" s="6" t="str">
        <f>VLOOKUP(B:B,'[2]Hakata Island Team'!$E:$H,4,)</f>
        <v>SPPL Fleet - G</v>
      </c>
      <c r="F150" s="6" t="s">
        <v>1575</v>
      </c>
      <c r="G150" s="6" t="s">
        <v>1184</v>
      </c>
      <c r="H150" s="7">
        <v>45966</v>
      </c>
      <c r="I150" s="6" t="s">
        <v>1026</v>
      </c>
      <c r="J150" s="6" t="s">
        <v>45</v>
      </c>
      <c r="K150" s="6" t="s">
        <v>45</v>
      </c>
      <c r="L150" s="10">
        <v>12</v>
      </c>
      <c r="M150" s="10">
        <v>0</v>
      </c>
      <c r="N150" s="6" t="s">
        <v>1537</v>
      </c>
      <c r="O150" s="6" t="s">
        <v>1036</v>
      </c>
      <c r="P150" s="27" t="s">
        <v>42</v>
      </c>
      <c r="Q150" s="7">
        <v>45601</v>
      </c>
      <c r="R150" s="7"/>
      <c r="S150" s="6" t="s">
        <v>45</v>
      </c>
      <c r="T150" s="7"/>
      <c r="U150" s="34"/>
    </row>
    <row r="151" spans="1:21" x14ac:dyDescent="0.35">
      <c r="A151" s="5" t="s">
        <v>1573</v>
      </c>
      <c r="B151" s="6" t="s">
        <v>1532</v>
      </c>
      <c r="C151" s="6" t="s">
        <v>1533</v>
      </c>
      <c r="D151" s="6" t="str">
        <f>VLOOKUP(B:B,'[2]Hakata Island Team'!$E:$G,3,)</f>
        <v>Praveen Kumar</v>
      </c>
      <c r="E151" s="6" t="str">
        <f>VLOOKUP(B:B,'[2]Hakata Island Team'!$E:$H,4,)</f>
        <v>SPPL Fleet - G</v>
      </c>
      <c r="F151" s="6" t="s">
        <v>1576</v>
      </c>
      <c r="G151" s="6" t="s">
        <v>1184</v>
      </c>
      <c r="H151" s="7">
        <v>45966</v>
      </c>
      <c r="I151" s="6" t="s">
        <v>1026</v>
      </c>
      <c r="J151" s="6" t="s">
        <v>45</v>
      </c>
      <c r="K151" s="6" t="s">
        <v>45</v>
      </c>
      <c r="L151" s="10">
        <v>12</v>
      </c>
      <c r="M151" s="10">
        <v>0</v>
      </c>
      <c r="N151" s="6" t="s">
        <v>1537</v>
      </c>
      <c r="O151" s="6" t="s">
        <v>1036</v>
      </c>
      <c r="P151" s="27" t="s">
        <v>42</v>
      </c>
      <c r="Q151" s="7">
        <v>45601</v>
      </c>
      <c r="R151" s="7"/>
      <c r="S151" s="6" t="s">
        <v>45</v>
      </c>
      <c r="T151" s="7"/>
      <c r="U151" s="34"/>
    </row>
    <row r="152" spans="1:21" x14ac:dyDescent="0.35">
      <c r="A152" s="5" t="s">
        <v>1573</v>
      </c>
      <c r="B152" s="6" t="s">
        <v>1532</v>
      </c>
      <c r="C152" s="6" t="s">
        <v>1533</v>
      </c>
      <c r="D152" s="6" t="str">
        <f>VLOOKUP(B:B,'[2]Hakata Island Team'!$E:$G,3,)</f>
        <v>Praveen Kumar</v>
      </c>
      <c r="E152" s="6" t="str">
        <f>VLOOKUP(B:B,'[2]Hakata Island Team'!$E:$H,4,)</f>
        <v>SPPL Fleet - G</v>
      </c>
      <c r="F152" s="6" t="s">
        <v>1577</v>
      </c>
      <c r="G152" s="6" t="s">
        <v>1184</v>
      </c>
      <c r="H152" s="7">
        <v>45966</v>
      </c>
      <c r="I152" s="6" t="s">
        <v>1026</v>
      </c>
      <c r="J152" s="6" t="s">
        <v>45</v>
      </c>
      <c r="K152" s="6" t="s">
        <v>45</v>
      </c>
      <c r="L152" s="10">
        <v>12</v>
      </c>
      <c r="M152" s="10">
        <v>0</v>
      </c>
      <c r="N152" s="6" t="s">
        <v>1537</v>
      </c>
      <c r="O152" s="6" t="s">
        <v>1036</v>
      </c>
      <c r="P152" s="27" t="s">
        <v>42</v>
      </c>
      <c r="Q152" s="7">
        <v>45601</v>
      </c>
      <c r="R152" s="7"/>
      <c r="S152" s="6" t="s">
        <v>45</v>
      </c>
      <c r="T152" s="7"/>
      <c r="U152" s="34"/>
    </row>
    <row r="153" spans="1:21" x14ac:dyDescent="0.35">
      <c r="A153" s="5" t="s">
        <v>1573</v>
      </c>
      <c r="B153" s="6" t="s">
        <v>1532</v>
      </c>
      <c r="C153" s="6" t="s">
        <v>1533</v>
      </c>
      <c r="D153" s="6" t="str">
        <f>VLOOKUP(B:B,'[2]Hakata Island Team'!$E:$G,3,)</f>
        <v>Praveen Kumar</v>
      </c>
      <c r="E153" s="6" t="str">
        <f>VLOOKUP(B:B,'[2]Hakata Island Team'!$E:$H,4,)</f>
        <v>SPPL Fleet - G</v>
      </c>
      <c r="F153" s="6" t="s">
        <v>1578</v>
      </c>
      <c r="G153" s="6" t="s">
        <v>1184</v>
      </c>
      <c r="H153" s="7">
        <v>45966</v>
      </c>
      <c r="I153" s="6" t="s">
        <v>1026</v>
      </c>
      <c r="J153" s="6" t="s">
        <v>45</v>
      </c>
      <c r="K153" s="6" t="s">
        <v>45</v>
      </c>
      <c r="L153" s="10">
        <v>12</v>
      </c>
      <c r="M153" s="10">
        <v>0</v>
      </c>
      <c r="N153" s="6" t="s">
        <v>1537</v>
      </c>
      <c r="O153" s="6" t="s">
        <v>1036</v>
      </c>
      <c r="P153" s="27" t="s">
        <v>42</v>
      </c>
      <c r="Q153" s="7">
        <v>45601</v>
      </c>
      <c r="R153" s="7"/>
      <c r="S153" s="6" t="s">
        <v>45</v>
      </c>
      <c r="T153" s="7"/>
      <c r="U153" s="34"/>
    </row>
    <row r="154" spans="1:21" x14ac:dyDescent="0.35">
      <c r="A154" s="5" t="s">
        <v>1286</v>
      </c>
      <c r="B154" s="6" t="s">
        <v>1532</v>
      </c>
      <c r="C154" s="6" t="s">
        <v>1533</v>
      </c>
      <c r="D154" s="6" t="str">
        <f>VLOOKUP(B:B,'[2]Hakata Island Team'!$E:$G,3,)</f>
        <v>Praveen Kumar</v>
      </c>
      <c r="E154" s="6" t="str">
        <f>VLOOKUP(B:B,'[2]Hakata Island Team'!$E:$H,4,)</f>
        <v>SPPL Fleet - G</v>
      </c>
      <c r="F154" s="6" t="s">
        <v>1542</v>
      </c>
      <c r="G154" s="6" t="s">
        <v>1035</v>
      </c>
      <c r="H154" s="7">
        <v>46023</v>
      </c>
      <c r="I154" s="6" t="s">
        <v>1288</v>
      </c>
      <c r="J154" s="6" t="s">
        <v>45</v>
      </c>
      <c r="K154" s="6" t="s">
        <v>45</v>
      </c>
      <c r="L154" s="10">
        <v>12</v>
      </c>
      <c r="M154" s="10">
        <v>3</v>
      </c>
      <c r="N154" s="6" t="s">
        <v>1547</v>
      </c>
      <c r="O154" s="6" t="s">
        <v>1036</v>
      </c>
      <c r="P154" s="27" t="s">
        <v>42</v>
      </c>
      <c r="Q154" s="7">
        <v>44513</v>
      </c>
      <c r="R154" s="7"/>
      <c r="S154" s="6" t="s">
        <v>45</v>
      </c>
      <c r="T154" s="7"/>
      <c r="U154" s="34">
        <v>45908</v>
      </c>
    </row>
    <row r="155" spans="1:21" x14ac:dyDescent="0.35">
      <c r="A155" s="5" t="s">
        <v>1324</v>
      </c>
      <c r="B155" s="6" t="s">
        <v>1532</v>
      </c>
      <c r="C155" s="6" t="s">
        <v>1533</v>
      </c>
      <c r="D155" s="6" t="str">
        <f>VLOOKUP(B:B,'[2]Hakata Island Team'!$E:$G,3,)</f>
        <v>Praveen Kumar</v>
      </c>
      <c r="E155" s="6" t="str">
        <f>VLOOKUP(B:B,'[2]Hakata Island Team'!$E:$H,4,)</f>
        <v>SPPL Fleet - G</v>
      </c>
      <c r="F155" s="6" t="s">
        <v>1542</v>
      </c>
      <c r="G155" s="6" t="s">
        <v>1035</v>
      </c>
      <c r="H155" s="7">
        <v>46023</v>
      </c>
      <c r="I155" s="6" t="s">
        <v>1325</v>
      </c>
      <c r="J155" s="6" t="s">
        <v>45</v>
      </c>
      <c r="K155" s="6" t="s">
        <v>45</v>
      </c>
      <c r="L155" s="10">
        <v>12</v>
      </c>
      <c r="M155" s="10">
        <v>3</v>
      </c>
      <c r="N155" s="6" t="s">
        <v>1547</v>
      </c>
      <c r="O155" s="6" t="s">
        <v>1036</v>
      </c>
      <c r="P155" s="27" t="s">
        <v>42</v>
      </c>
      <c r="Q155" s="7">
        <v>45609</v>
      </c>
      <c r="R155" s="7"/>
      <c r="S155" s="6" t="s">
        <v>45</v>
      </c>
      <c r="T155" s="7"/>
      <c r="U155" s="34">
        <v>45908</v>
      </c>
    </row>
    <row r="156" spans="1:21" x14ac:dyDescent="0.35">
      <c r="A156" s="5" t="s">
        <v>1309</v>
      </c>
      <c r="B156" s="6" t="s">
        <v>1532</v>
      </c>
      <c r="C156" s="6" t="s">
        <v>1533</v>
      </c>
      <c r="D156" s="6" t="str">
        <f>VLOOKUP(B:B,'[2]Hakata Island Team'!$E:$G,3,)</f>
        <v>Praveen Kumar</v>
      </c>
      <c r="E156" s="6" t="str">
        <f>VLOOKUP(B:B,'[2]Hakata Island Team'!$E:$H,4,)</f>
        <v>SPPL Fleet - G</v>
      </c>
      <c r="F156" s="6" t="s">
        <v>1542</v>
      </c>
      <c r="G156" s="6" t="s">
        <v>1035</v>
      </c>
      <c r="H156" s="7">
        <v>46023</v>
      </c>
      <c r="I156" s="6" t="s">
        <v>1310</v>
      </c>
      <c r="J156" s="6" t="s">
        <v>1536</v>
      </c>
      <c r="K156" s="6" t="s">
        <v>1668</v>
      </c>
      <c r="L156" s="10">
        <v>12</v>
      </c>
      <c r="M156" s="10">
        <v>3</v>
      </c>
      <c r="N156" s="6" t="s">
        <v>1547</v>
      </c>
      <c r="O156" s="6" t="s">
        <v>1036</v>
      </c>
      <c r="P156" s="27" t="s">
        <v>42</v>
      </c>
      <c r="Q156" s="7">
        <v>45908</v>
      </c>
      <c r="R156" s="7"/>
      <c r="S156" s="6" t="s">
        <v>1545</v>
      </c>
      <c r="T156" s="7"/>
      <c r="U156" s="34">
        <v>45908</v>
      </c>
    </row>
    <row r="157" spans="1:21" x14ac:dyDescent="0.35">
      <c r="A157" s="5" t="s">
        <v>1309</v>
      </c>
      <c r="B157" s="6" t="s">
        <v>1532</v>
      </c>
      <c r="C157" s="6" t="s">
        <v>1533</v>
      </c>
      <c r="D157" s="6" t="str">
        <f>VLOOKUP(B:B,'[2]Hakata Island Team'!$E:$G,3,)</f>
        <v>Praveen Kumar</v>
      </c>
      <c r="E157" s="6" t="str">
        <f>VLOOKUP(B:B,'[2]Hakata Island Team'!$E:$H,4,)</f>
        <v>SPPL Fleet - G</v>
      </c>
      <c r="F157" s="6" t="s">
        <v>1539</v>
      </c>
      <c r="G157" s="6" t="s">
        <v>1433</v>
      </c>
      <c r="H157" s="7">
        <v>45658</v>
      </c>
      <c r="I157" s="6" t="s">
        <v>1310</v>
      </c>
      <c r="J157" s="6" t="s">
        <v>1536</v>
      </c>
      <c r="K157" s="6" t="s">
        <v>1669</v>
      </c>
      <c r="L157" s="10">
        <v>30</v>
      </c>
      <c r="M157" s="10">
        <v>9</v>
      </c>
      <c r="N157" s="6" t="s">
        <v>1670</v>
      </c>
      <c r="O157" s="6" t="s">
        <v>1036</v>
      </c>
      <c r="P157" s="27" t="s">
        <v>42</v>
      </c>
      <c r="Q157" s="7">
        <v>45908</v>
      </c>
      <c r="R157" s="7"/>
      <c r="S157" s="6" t="s">
        <v>1671</v>
      </c>
      <c r="T157" s="7"/>
      <c r="U157" s="34">
        <v>45518</v>
      </c>
    </row>
    <row r="158" spans="1:21" x14ac:dyDescent="0.35">
      <c r="A158" s="5" t="s">
        <v>1309</v>
      </c>
      <c r="B158" s="6" t="s">
        <v>1532</v>
      </c>
      <c r="C158" s="6" t="s">
        <v>1533</v>
      </c>
      <c r="D158" s="6" t="str">
        <f>VLOOKUP(B:B,'[2]Hakata Island Team'!$E:$G,3,)</f>
        <v>Praveen Kumar</v>
      </c>
      <c r="E158" s="6" t="str">
        <f>VLOOKUP(B:B,'[2]Hakata Island Team'!$E:$H,4,)</f>
        <v>SPPL Fleet - G</v>
      </c>
      <c r="F158" s="6" t="s">
        <v>1570</v>
      </c>
      <c r="G158" s="6" t="s">
        <v>1433</v>
      </c>
      <c r="H158" s="7">
        <v>45658</v>
      </c>
      <c r="I158" s="6" t="s">
        <v>1310</v>
      </c>
      <c r="J158" s="6" t="s">
        <v>1536</v>
      </c>
      <c r="K158" s="6" t="s">
        <v>1669</v>
      </c>
      <c r="L158" s="10">
        <v>30</v>
      </c>
      <c r="M158" s="10">
        <v>9</v>
      </c>
      <c r="N158" s="6" t="s">
        <v>1670</v>
      </c>
      <c r="O158" s="6" t="s">
        <v>1036</v>
      </c>
      <c r="P158" s="27" t="s">
        <v>42</v>
      </c>
      <c r="Q158" s="7">
        <v>45908</v>
      </c>
      <c r="R158" s="7"/>
      <c r="S158" s="6" t="s">
        <v>1672</v>
      </c>
      <c r="T158" s="7"/>
      <c r="U158" s="34">
        <v>45519</v>
      </c>
    </row>
    <row r="159" spans="1:21" x14ac:dyDescent="0.35">
      <c r="A159" s="5" t="s">
        <v>1328</v>
      </c>
      <c r="B159" s="6" t="s">
        <v>1532</v>
      </c>
      <c r="C159" s="6" t="s">
        <v>1533</v>
      </c>
      <c r="D159" s="6" t="str">
        <f>VLOOKUP(B:B,'[2]Hakata Island Team'!$E:$G,3,)</f>
        <v>Praveen Kumar</v>
      </c>
      <c r="E159" s="6" t="str">
        <f>VLOOKUP(B:B,'[2]Hakata Island Team'!$E:$H,4,)</f>
        <v>SPPL Fleet - G</v>
      </c>
      <c r="F159" s="6" t="s">
        <v>1542</v>
      </c>
      <c r="G159" s="6" t="s">
        <v>1035</v>
      </c>
      <c r="H159" s="7">
        <v>46023</v>
      </c>
      <c r="I159" s="6" t="s">
        <v>1329</v>
      </c>
      <c r="J159" s="6" t="s">
        <v>45</v>
      </c>
      <c r="K159" s="6" t="s">
        <v>45</v>
      </c>
      <c r="L159" s="10">
        <v>12</v>
      </c>
      <c r="M159" s="10">
        <v>3</v>
      </c>
      <c r="N159" s="6" t="s">
        <v>1547</v>
      </c>
      <c r="O159" s="6" t="s">
        <v>1036</v>
      </c>
      <c r="P159" s="27" t="s">
        <v>42</v>
      </c>
      <c r="Q159" s="7">
        <v>45518</v>
      </c>
      <c r="R159" s="7"/>
      <c r="S159" s="6" t="s">
        <v>45</v>
      </c>
      <c r="T159" s="7"/>
      <c r="U159" s="34">
        <v>45908</v>
      </c>
    </row>
    <row r="160" spans="1:21" x14ac:dyDescent="0.35">
      <c r="A160" s="5" t="s">
        <v>1321</v>
      </c>
      <c r="B160" s="6" t="s">
        <v>1532</v>
      </c>
      <c r="C160" s="6" t="s">
        <v>1533</v>
      </c>
      <c r="D160" s="6" t="str">
        <f>VLOOKUP(B:B,'[2]Hakata Island Team'!$E:$G,3,)</f>
        <v>Praveen Kumar</v>
      </c>
      <c r="E160" s="6" t="str">
        <f>VLOOKUP(B:B,'[2]Hakata Island Team'!$E:$H,4,)</f>
        <v>SPPL Fleet - G</v>
      </c>
      <c r="F160" s="6" t="s">
        <v>1542</v>
      </c>
      <c r="G160" s="6" t="s">
        <v>1035</v>
      </c>
      <c r="H160" s="7">
        <v>46023</v>
      </c>
      <c r="I160" s="6" t="s">
        <v>1322</v>
      </c>
      <c r="J160" s="6" t="s">
        <v>45</v>
      </c>
      <c r="K160" s="6" t="s">
        <v>45</v>
      </c>
      <c r="L160" s="10">
        <v>12</v>
      </c>
      <c r="M160" s="10">
        <v>3</v>
      </c>
      <c r="N160" s="6" t="s">
        <v>1547</v>
      </c>
      <c r="O160" s="6" t="s">
        <v>1036</v>
      </c>
      <c r="P160" s="27" t="s">
        <v>42</v>
      </c>
      <c r="Q160" s="7">
        <v>45607</v>
      </c>
      <c r="R160" s="7"/>
      <c r="S160" s="6" t="s">
        <v>45</v>
      </c>
      <c r="T160" s="7"/>
      <c r="U160" s="34">
        <v>45908</v>
      </c>
    </row>
    <row r="161" spans="1:21" x14ac:dyDescent="0.35">
      <c r="A161" s="5" t="s">
        <v>1297</v>
      </c>
      <c r="B161" s="6" t="s">
        <v>1532</v>
      </c>
      <c r="C161" s="6" t="s">
        <v>1533</v>
      </c>
      <c r="D161" s="6" t="str">
        <f>VLOOKUP(B:B,'[2]Hakata Island Team'!$E:$G,3,)</f>
        <v>Praveen Kumar</v>
      </c>
      <c r="E161" s="6" t="str">
        <f>VLOOKUP(B:B,'[2]Hakata Island Team'!$E:$H,4,)</f>
        <v>SPPL Fleet - G</v>
      </c>
      <c r="F161" s="6" t="s">
        <v>1542</v>
      </c>
      <c r="G161" s="6" t="s">
        <v>1035</v>
      </c>
      <c r="H161" s="7">
        <v>46023</v>
      </c>
      <c r="I161" s="6" t="s">
        <v>1298</v>
      </c>
      <c r="J161" s="6" t="s">
        <v>45</v>
      </c>
      <c r="K161" s="6" t="s">
        <v>45</v>
      </c>
      <c r="L161" s="10">
        <v>12</v>
      </c>
      <c r="M161" s="10">
        <v>3</v>
      </c>
      <c r="N161" s="6" t="s">
        <v>1547</v>
      </c>
      <c r="O161" s="6" t="s">
        <v>1036</v>
      </c>
      <c r="P161" s="27" t="s">
        <v>42</v>
      </c>
      <c r="Q161" s="7">
        <v>45607</v>
      </c>
      <c r="R161" s="7"/>
      <c r="S161" s="6" t="s">
        <v>45</v>
      </c>
      <c r="T161" s="7"/>
      <c r="U161" s="34">
        <v>45908</v>
      </c>
    </row>
    <row r="162" spans="1:21" x14ac:dyDescent="0.35">
      <c r="A162" s="5" t="s">
        <v>1573</v>
      </c>
      <c r="B162" s="6" t="s">
        <v>1069</v>
      </c>
      <c r="C162" s="6" t="s">
        <v>1070</v>
      </c>
      <c r="D162" s="6" t="str">
        <f>VLOOKUP(B:B,'[2]Hakata Island Team'!$E:$G,3,)</f>
        <v>Manikandan Ayyappan</v>
      </c>
      <c r="E162" s="6" t="str">
        <f>VLOOKUP(B:B,'[2]Hakata Island Team'!$E:$H,4,)</f>
        <v>SPPL Fleet - G</v>
      </c>
      <c r="F162" s="6" t="s">
        <v>1575</v>
      </c>
      <c r="G162" s="6" t="s">
        <v>1184</v>
      </c>
      <c r="H162" s="7">
        <v>45729</v>
      </c>
      <c r="I162" s="6" t="s">
        <v>1026</v>
      </c>
      <c r="J162" s="6" t="s">
        <v>45</v>
      </c>
      <c r="K162" s="6" t="s">
        <v>45</v>
      </c>
      <c r="L162" s="10">
        <v>12</v>
      </c>
      <c r="M162" s="10">
        <v>0</v>
      </c>
      <c r="N162" s="6" t="s">
        <v>1537</v>
      </c>
      <c r="O162" s="6" t="s">
        <v>1036</v>
      </c>
      <c r="P162" s="27" t="s">
        <v>42</v>
      </c>
      <c r="Q162" s="7">
        <v>45364</v>
      </c>
      <c r="R162" s="7"/>
      <c r="S162" s="6" t="s">
        <v>45</v>
      </c>
      <c r="T162" s="7"/>
      <c r="U162" s="34"/>
    </row>
    <row r="163" spans="1:21" x14ac:dyDescent="0.35">
      <c r="A163" s="5" t="s">
        <v>1573</v>
      </c>
      <c r="B163" s="6" t="s">
        <v>1069</v>
      </c>
      <c r="C163" s="6" t="s">
        <v>1070</v>
      </c>
      <c r="D163" s="6" t="str">
        <f>VLOOKUP(B:B,'[2]Hakata Island Team'!$E:$G,3,)</f>
        <v>Manikandan Ayyappan</v>
      </c>
      <c r="E163" s="6" t="str">
        <f>VLOOKUP(B:B,'[2]Hakata Island Team'!$E:$H,4,)</f>
        <v>SPPL Fleet - G</v>
      </c>
      <c r="F163" s="6" t="s">
        <v>1576</v>
      </c>
      <c r="G163" s="6" t="s">
        <v>1184</v>
      </c>
      <c r="H163" s="7">
        <v>45729</v>
      </c>
      <c r="I163" s="6" t="s">
        <v>1026</v>
      </c>
      <c r="J163" s="6" t="s">
        <v>45</v>
      </c>
      <c r="K163" s="6" t="s">
        <v>45</v>
      </c>
      <c r="L163" s="10">
        <v>12</v>
      </c>
      <c r="M163" s="10">
        <v>0</v>
      </c>
      <c r="N163" s="6" t="s">
        <v>1537</v>
      </c>
      <c r="O163" s="6" t="s">
        <v>1036</v>
      </c>
      <c r="P163" s="27" t="s">
        <v>42</v>
      </c>
      <c r="Q163" s="7">
        <v>45364</v>
      </c>
      <c r="R163" s="7"/>
      <c r="S163" s="6" t="s">
        <v>45</v>
      </c>
      <c r="T163" s="7"/>
      <c r="U163" s="34"/>
    </row>
    <row r="164" spans="1:21" x14ac:dyDescent="0.35">
      <c r="A164" s="5" t="s">
        <v>1573</v>
      </c>
      <c r="B164" s="6" t="s">
        <v>1069</v>
      </c>
      <c r="C164" s="6" t="s">
        <v>1070</v>
      </c>
      <c r="D164" s="6" t="str">
        <f>VLOOKUP(B:B,'[2]Hakata Island Team'!$E:$G,3,)</f>
        <v>Manikandan Ayyappan</v>
      </c>
      <c r="E164" s="6" t="str">
        <f>VLOOKUP(B:B,'[2]Hakata Island Team'!$E:$H,4,)</f>
        <v>SPPL Fleet - G</v>
      </c>
      <c r="F164" s="6" t="s">
        <v>1577</v>
      </c>
      <c r="G164" s="6" t="s">
        <v>1184</v>
      </c>
      <c r="H164" s="7">
        <v>45729</v>
      </c>
      <c r="I164" s="6" t="s">
        <v>1026</v>
      </c>
      <c r="J164" s="6" t="s">
        <v>45</v>
      </c>
      <c r="K164" s="6" t="s">
        <v>45</v>
      </c>
      <c r="L164" s="10">
        <v>12</v>
      </c>
      <c r="M164" s="10">
        <v>0</v>
      </c>
      <c r="N164" s="6" t="s">
        <v>1537</v>
      </c>
      <c r="O164" s="6" t="s">
        <v>1036</v>
      </c>
      <c r="P164" s="27" t="s">
        <v>42</v>
      </c>
      <c r="Q164" s="7">
        <v>45364</v>
      </c>
      <c r="R164" s="7"/>
      <c r="S164" s="6" t="s">
        <v>45</v>
      </c>
      <c r="T164" s="7"/>
      <c r="U164" s="34"/>
    </row>
    <row r="165" spans="1:21" x14ac:dyDescent="0.35">
      <c r="A165" s="5" t="s">
        <v>1573</v>
      </c>
      <c r="B165" s="6" t="s">
        <v>1069</v>
      </c>
      <c r="C165" s="6" t="s">
        <v>1070</v>
      </c>
      <c r="D165" s="6" t="str">
        <f>VLOOKUP(B:B,'[2]Hakata Island Team'!$E:$G,3,)</f>
        <v>Manikandan Ayyappan</v>
      </c>
      <c r="E165" s="6" t="str">
        <f>VLOOKUP(B:B,'[2]Hakata Island Team'!$E:$H,4,)</f>
        <v>SPPL Fleet - G</v>
      </c>
      <c r="F165" s="6" t="s">
        <v>1578</v>
      </c>
      <c r="G165" s="6" t="s">
        <v>1184</v>
      </c>
      <c r="H165" s="7">
        <v>45729</v>
      </c>
      <c r="I165" s="6" t="s">
        <v>1026</v>
      </c>
      <c r="J165" s="6" t="s">
        <v>45</v>
      </c>
      <c r="K165" s="6" t="s">
        <v>45</v>
      </c>
      <c r="L165" s="10">
        <v>12</v>
      </c>
      <c r="M165" s="10">
        <v>0</v>
      </c>
      <c r="N165" s="6" t="s">
        <v>1537</v>
      </c>
      <c r="O165" s="6" t="s">
        <v>1036</v>
      </c>
      <c r="P165" s="27" t="s">
        <v>42</v>
      </c>
      <c r="Q165" s="7">
        <v>45364</v>
      </c>
      <c r="R165" s="7"/>
      <c r="S165" s="6" t="s">
        <v>45</v>
      </c>
      <c r="T165" s="7"/>
      <c r="U165" s="34"/>
    </row>
    <row r="166" spans="1:21" x14ac:dyDescent="0.35">
      <c r="A166" s="5" t="s">
        <v>1573</v>
      </c>
      <c r="B166" s="6" t="s">
        <v>1069</v>
      </c>
      <c r="C166" s="6" t="s">
        <v>1070</v>
      </c>
      <c r="D166" s="6" t="str">
        <f>VLOOKUP(B:B,'[2]Hakata Island Team'!$E:$G,3,)</f>
        <v>Manikandan Ayyappan</v>
      </c>
      <c r="E166" s="6" t="str">
        <f>VLOOKUP(B:B,'[2]Hakata Island Team'!$E:$H,4,)</f>
        <v>SPPL Fleet - G</v>
      </c>
      <c r="F166" s="6" t="s">
        <v>1574</v>
      </c>
      <c r="G166" s="6" t="s">
        <v>1184</v>
      </c>
      <c r="H166" s="7">
        <v>45729</v>
      </c>
      <c r="I166" s="6" t="s">
        <v>1026</v>
      </c>
      <c r="J166" s="6" t="s">
        <v>45</v>
      </c>
      <c r="K166" s="6" t="s">
        <v>45</v>
      </c>
      <c r="L166" s="10">
        <v>12</v>
      </c>
      <c r="M166" s="10">
        <v>0</v>
      </c>
      <c r="N166" s="6" t="s">
        <v>1537</v>
      </c>
      <c r="O166" s="6" t="s">
        <v>1036</v>
      </c>
      <c r="P166" s="27" t="s">
        <v>42</v>
      </c>
      <c r="Q166" s="7">
        <v>45364</v>
      </c>
      <c r="R166" s="7"/>
      <c r="S166" s="6" t="s">
        <v>45</v>
      </c>
      <c r="T166" s="7"/>
      <c r="U166" s="34">
        <v>45364</v>
      </c>
    </row>
    <row r="167" spans="1:21" x14ac:dyDescent="0.35">
      <c r="A167" s="5" t="s">
        <v>1571</v>
      </c>
      <c r="B167" s="6" t="s">
        <v>1069</v>
      </c>
      <c r="C167" s="6" t="s">
        <v>1070</v>
      </c>
      <c r="D167" s="6" t="str">
        <f>VLOOKUP(B:B,'[2]Hakata Island Team'!$E:$G,3,)</f>
        <v>Manikandan Ayyappan</v>
      </c>
      <c r="E167" s="6" t="str">
        <f>VLOOKUP(B:B,'[2]Hakata Island Team'!$E:$H,4,)</f>
        <v>SPPL Fleet - G</v>
      </c>
      <c r="F167" s="6" t="s">
        <v>1621</v>
      </c>
      <c r="G167" s="6" t="s">
        <v>1035</v>
      </c>
      <c r="H167" s="7">
        <v>45483</v>
      </c>
      <c r="I167" s="6" t="s">
        <v>1572</v>
      </c>
      <c r="J167" s="6" t="s">
        <v>45</v>
      </c>
      <c r="K167" s="6" t="s">
        <v>45</v>
      </c>
      <c r="L167" s="10">
        <v>12</v>
      </c>
      <c r="M167" s="10">
        <v>3</v>
      </c>
      <c r="N167" s="6" t="s">
        <v>1537</v>
      </c>
      <c r="O167" s="6" t="s">
        <v>1036</v>
      </c>
      <c r="P167" s="27" t="s">
        <v>42</v>
      </c>
      <c r="Q167" s="7">
        <v>45123</v>
      </c>
      <c r="R167" s="7"/>
      <c r="S167" s="6" t="s">
        <v>45</v>
      </c>
      <c r="T167" s="7"/>
      <c r="U167" s="34"/>
    </row>
    <row r="168" spans="1:21" x14ac:dyDescent="0.35">
      <c r="A168" s="5" t="s">
        <v>1673</v>
      </c>
      <c r="B168" s="6" t="s">
        <v>1674</v>
      </c>
      <c r="C168" s="6" t="s">
        <v>1675</v>
      </c>
      <c r="D168" s="6" t="e">
        <f>VLOOKUP(B:B,'[2]Hakata Island Team'!$E:$G,3,)</f>
        <v>#N/A</v>
      </c>
      <c r="E168" s="6" t="e">
        <f>VLOOKUP(B:B,'[2]Hakata Island Team'!$E:$H,4,)</f>
        <v>#N/A</v>
      </c>
      <c r="F168" s="6" t="s">
        <v>1676</v>
      </c>
      <c r="G168" s="6" t="s">
        <v>1677</v>
      </c>
      <c r="H168" s="7">
        <v>46051</v>
      </c>
      <c r="I168" s="6" t="s">
        <v>1678</v>
      </c>
      <c r="J168" s="6" t="s">
        <v>45</v>
      </c>
      <c r="K168" s="6" t="s">
        <v>45</v>
      </c>
      <c r="L168" s="10">
        <v>0</v>
      </c>
      <c r="M168" s="10">
        <v>0</v>
      </c>
      <c r="N168" s="6" t="s">
        <v>1537</v>
      </c>
      <c r="O168" s="6" t="s">
        <v>1036</v>
      </c>
      <c r="P168" s="27" t="s">
        <v>42</v>
      </c>
      <c r="Q168" s="7">
        <v>46051</v>
      </c>
      <c r="R168" s="7"/>
      <c r="S168" s="6" t="s">
        <v>45</v>
      </c>
      <c r="T168" s="7"/>
      <c r="U168" s="34"/>
    </row>
    <row r="169" spans="1:21" x14ac:dyDescent="0.35">
      <c r="A169" s="5" t="s">
        <v>1679</v>
      </c>
      <c r="B169" s="6" t="s">
        <v>1674</v>
      </c>
      <c r="C169" s="6" t="s">
        <v>1675</v>
      </c>
      <c r="D169" s="6" t="e">
        <f>VLOOKUP(B:B,'[2]Hakata Island Team'!$E:$G,3,)</f>
        <v>#N/A</v>
      </c>
      <c r="E169" s="6" t="e">
        <f>VLOOKUP(B:B,'[2]Hakata Island Team'!$E:$H,4,)</f>
        <v>#N/A</v>
      </c>
      <c r="F169" s="6" t="s">
        <v>1676</v>
      </c>
      <c r="G169" s="6" t="s">
        <v>1677</v>
      </c>
      <c r="H169" s="7">
        <v>46014</v>
      </c>
      <c r="I169" s="6" t="s">
        <v>1680</v>
      </c>
      <c r="J169" s="6" t="s">
        <v>45</v>
      </c>
      <c r="K169" s="6" t="s">
        <v>45</v>
      </c>
      <c r="L169" s="10">
        <v>0</v>
      </c>
      <c r="M169" s="10">
        <v>0</v>
      </c>
      <c r="N169" s="6" t="s">
        <v>1537</v>
      </c>
      <c r="O169" s="6" t="s">
        <v>1036</v>
      </c>
      <c r="P169" s="27" t="s">
        <v>42</v>
      </c>
      <c r="Q169" s="7">
        <v>46014</v>
      </c>
      <c r="R169" s="7"/>
      <c r="S169" s="6" t="s">
        <v>45</v>
      </c>
      <c r="T169" s="7"/>
      <c r="U169" s="34"/>
    </row>
    <row r="170" spans="1:21" x14ac:dyDescent="0.35">
      <c r="A170" s="5" t="s">
        <v>1681</v>
      </c>
      <c r="B170" s="6" t="s">
        <v>1674</v>
      </c>
      <c r="C170" s="6" t="s">
        <v>1675</v>
      </c>
      <c r="D170" s="6" t="e">
        <f>VLOOKUP(B:B,'[2]Hakata Island Team'!$E:$G,3,)</f>
        <v>#N/A</v>
      </c>
      <c r="E170" s="6" t="e">
        <f>VLOOKUP(B:B,'[2]Hakata Island Team'!$E:$H,4,)</f>
        <v>#N/A</v>
      </c>
      <c r="F170" s="6" t="s">
        <v>1676</v>
      </c>
      <c r="G170" s="6" t="s">
        <v>1677</v>
      </c>
      <c r="H170" s="7">
        <v>46104</v>
      </c>
      <c r="I170" s="6" t="s">
        <v>1682</v>
      </c>
      <c r="J170" s="6" t="s">
        <v>45</v>
      </c>
      <c r="K170" s="6" t="s">
        <v>45</v>
      </c>
      <c r="L170" s="10">
        <v>0</v>
      </c>
      <c r="M170" s="10">
        <v>0</v>
      </c>
      <c r="N170" s="6" t="s">
        <v>1537</v>
      </c>
      <c r="O170" s="6" t="s">
        <v>1036</v>
      </c>
      <c r="P170" s="27" t="s">
        <v>42</v>
      </c>
      <c r="Q170" s="7">
        <v>46104</v>
      </c>
      <c r="R170" s="7"/>
      <c r="S170" s="6" t="s">
        <v>45</v>
      </c>
      <c r="T170" s="7"/>
      <c r="U170" s="34"/>
    </row>
    <row r="171" spans="1:21" x14ac:dyDescent="0.35">
      <c r="A171" s="5" t="s">
        <v>1286</v>
      </c>
      <c r="B171" s="6" t="s">
        <v>1595</v>
      </c>
      <c r="C171" s="6" t="s">
        <v>1596</v>
      </c>
      <c r="D171" s="6" t="str">
        <f>VLOOKUP(B:B,'[2]Hakata Island Team'!$E:$G,3,)</f>
        <v>Manikandan Ayyappan</v>
      </c>
      <c r="E171" s="6" t="str">
        <f>VLOOKUP(B:B,'[2]Hakata Island Team'!$E:$H,4,)</f>
        <v>SPPL Fleet - G</v>
      </c>
      <c r="F171" s="6" t="s">
        <v>1542</v>
      </c>
      <c r="G171" s="6" t="s">
        <v>1035</v>
      </c>
      <c r="H171" s="7">
        <v>45581</v>
      </c>
      <c r="I171" s="6" t="s">
        <v>1288</v>
      </c>
      <c r="J171" s="6" t="s">
        <v>1554</v>
      </c>
      <c r="K171" s="6" t="s">
        <v>1554</v>
      </c>
      <c r="L171" s="10">
        <v>12</v>
      </c>
      <c r="M171" s="10">
        <v>3</v>
      </c>
      <c r="N171" s="6" t="s">
        <v>1683</v>
      </c>
      <c r="O171" s="6" t="s">
        <v>1036</v>
      </c>
      <c r="P171" s="27" t="s">
        <v>42</v>
      </c>
      <c r="Q171" s="7">
        <v>45887</v>
      </c>
      <c r="R171" s="7"/>
      <c r="S171" s="6" t="s">
        <v>1598</v>
      </c>
      <c r="T171" s="7"/>
      <c r="U171" s="34">
        <v>45151</v>
      </c>
    </row>
    <row r="172" spans="1:21" x14ac:dyDescent="0.35">
      <c r="A172" s="5" t="s">
        <v>1324</v>
      </c>
      <c r="B172" s="6" t="s">
        <v>1595</v>
      </c>
      <c r="C172" s="6" t="s">
        <v>1596</v>
      </c>
      <c r="D172" s="6" t="str">
        <f>VLOOKUP(B:B,'[2]Hakata Island Team'!$E:$G,3,)</f>
        <v>Manikandan Ayyappan</v>
      </c>
      <c r="E172" s="6" t="str">
        <f>VLOOKUP(B:B,'[2]Hakata Island Team'!$E:$H,4,)</f>
        <v>SPPL Fleet - G</v>
      </c>
      <c r="F172" s="6" t="s">
        <v>1542</v>
      </c>
      <c r="G172" s="6" t="s">
        <v>1035</v>
      </c>
      <c r="H172" s="7">
        <v>45581</v>
      </c>
      <c r="I172" s="6" t="s">
        <v>1325</v>
      </c>
      <c r="J172" s="6" t="s">
        <v>1554</v>
      </c>
      <c r="K172" s="6" t="s">
        <v>1554</v>
      </c>
      <c r="L172" s="10">
        <v>12</v>
      </c>
      <c r="M172" s="10">
        <v>3</v>
      </c>
      <c r="N172" s="6" t="s">
        <v>1683</v>
      </c>
      <c r="O172" s="6" t="s">
        <v>1036</v>
      </c>
      <c r="P172" s="27" t="s">
        <v>42</v>
      </c>
      <c r="Q172" s="7">
        <v>45887</v>
      </c>
      <c r="R172" s="7"/>
      <c r="S172" s="6" t="s">
        <v>1598</v>
      </c>
      <c r="T172" s="7"/>
      <c r="U172" s="34">
        <v>45179</v>
      </c>
    </row>
    <row r="173" spans="1:21" x14ac:dyDescent="0.35">
      <c r="A173" s="5" t="s">
        <v>1186</v>
      </c>
      <c r="B173" s="6" t="s">
        <v>1502</v>
      </c>
      <c r="C173" s="6" t="s">
        <v>1503</v>
      </c>
      <c r="D173" s="6" t="str">
        <f>VLOOKUP(B:B,'[2]Hakata Island Team'!$E:$G,3,)</f>
        <v>Rajesh Kumar</v>
      </c>
      <c r="E173" s="6" t="str">
        <f>VLOOKUP(B:B,'[2]Hakata Island Team'!$E:$H,4,)</f>
        <v>SPPL Fleet - C</v>
      </c>
      <c r="F173" s="6" t="s">
        <v>1574</v>
      </c>
      <c r="G173" s="6" t="s">
        <v>1184</v>
      </c>
      <c r="H173" s="7"/>
      <c r="I173" s="6" t="s">
        <v>1187</v>
      </c>
      <c r="J173" s="6" t="s">
        <v>45</v>
      </c>
      <c r="K173" s="6" t="s">
        <v>45</v>
      </c>
      <c r="L173" s="10">
        <v>12</v>
      </c>
      <c r="M173" s="10">
        <v>0</v>
      </c>
      <c r="N173" s="6" t="s">
        <v>1537</v>
      </c>
      <c r="O173" s="6" t="s">
        <v>1050</v>
      </c>
      <c r="P173" s="27" t="s">
        <v>42</v>
      </c>
      <c r="Q173" s="7"/>
      <c r="R173" s="7"/>
      <c r="S173" s="6" t="s">
        <v>45</v>
      </c>
      <c r="T173" s="7"/>
      <c r="U173" s="34"/>
    </row>
    <row r="174" spans="1:21" x14ac:dyDescent="0.35">
      <c r="A174" s="5" t="s">
        <v>1186</v>
      </c>
      <c r="B174" s="6" t="s">
        <v>1502</v>
      </c>
      <c r="C174" s="6" t="s">
        <v>1503</v>
      </c>
      <c r="D174" s="6" t="str">
        <f>VLOOKUP(B:B,'[2]Hakata Island Team'!$E:$G,3,)</f>
        <v>Rajesh Kumar</v>
      </c>
      <c r="E174" s="6" t="str">
        <f>VLOOKUP(B:B,'[2]Hakata Island Team'!$E:$H,4,)</f>
        <v>SPPL Fleet - C</v>
      </c>
      <c r="F174" s="6" t="s">
        <v>1575</v>
      </c>
      <c r="G174" s="6" t="s">
        <v>1184</v>
      </c>
      <c r="H174" s="7"/>
      <c r="I174" s="6" t="s">
        <v>1187</v>
      </c>
      <c r="J174" s="6" t="s">
        <v>45</v>
      </c>
      <c r="K174" s="6" t="s">
        <v>45</v>
      </c>
      <c r="L174" s="10">
        <v>12</v>
      </c>
      <c r="M174" s="10">
        <v>0</v>
      </c>
      <c r="N174" s="6" t="s">
        <v>1537</v>
      </c>
      <c r="O174" s="6" t="s">
        <v>1050</v>
      </c>
      <c r="P174" s="27" t="s">
        <v>42</v>
      </c>
      <c r="Q174" s="7"/>
      <c r="R174" s="7"/>
      <c r="S174" s="6" t="s">
        <v>45</v>
      </c>
      <c r="T174" s="7"/>
      <c r="U174" s="34"/>
    </row>
    <row r="175" spans="1:21" x14ac:dyDescent="0.35">
      <c r="A175" s="5" t="s">
        <v>1186</v>
      </c>
      <c r="B175" s="6" t="s">
        <v>1502</v>
      </c>
      <c r="C175" s="6" t="s">
        <v>1503</v>
      </c>
      <c r="D175" s="6" t="str">
        <f>VLOOKUP(B:B,'[2]Hakata Island Team'!$E:$G,3,)</f>
        <v>Rajesh Kumar</v>
      </c>
      <c r="E175" s="6" t="str">
        <f>VLOOKUP(B:B,'[2]Hakata Island Team'!$E:$H,4,)</f>
        <v>SPPL Fleet - C</v>
      </c>
      <c r="F175" s="6" t="s">
        <v>1576</v>
      </c>
      <c r="G175" s="6" t="s">
        <v>1184</v>
      </c>
      <c r="H175" s="7"/>
      <c r="I175" s="6" t="s">
        <v>1187</v>
      </c>
      <c r="J175" s="6" t="s">
        <v>45</v>
      </c>
      <c r="K175" s="6" t="s">
        <v>45</v>
      </c>
      <c r="L175" s="10">
        <v>12</v>
      </c>
      <c r="M175" s="10">
        <v>0</v>
      </c>
      <c r="N175" s="6" t="s">
        <v>1537</v>
      </c>
      <c r="O175" s="6" t="s">
        <v>1050</v>
      </c>
      <c r="P175" s="27" t="s">
        <v>42</v>
      </c>
      <c r="Q175" s="7"/>
      <c r="R175" s="7"/>
      <c r="S175" s="6" t="s">
        <v>45</v>
      </c>
      <c r="T175" s="7"/>
      <c r="U175" s="34"/>
    </row>
    <row r="176" spans="1:21" x14ac:dyDescent="0.35">
      <c r="A176" s="5" t="s">
        <v>1324</v>
      </c>
      <c r="B176" s="6" t="s">
        <v>419</v>
      </c>
      <c r="C176" s="6" t="s">
        <v>732</v>
      </c>
      <c r="D176" s="6" t="str">
        <f>VLOOKUP(B:B,'[2]Hakata Island Team'!$E:$G,3,)</f>
        <v>Rupak Chundayil Kalam</v>
      </c>
      <c r="E176" s="6" t="str">
        <f>VLOOKUP(B:B,'[2]Hakata Island Team'!$E:$H,4,)</f>
        <v>SPPL Fleet - B</v>
      </c>
      <c r="F176" s="6" t="s">
        <v>1542</v>
      </c>
      <c r="G176" s="6" t="s">
        <v>1035</v>
      </c>
      <c r="H176" s="7">
        <v>45898</v>
      </c>
      <c r="I176" s="6" t="s">
        <v>1325</v>
      </c>
      <c r="J176" s="6" t="s">
        <v>45</v>
      </c>
      <c r="K176" s="6" t="s">
        <v>45</v>
      </c>
      <c r="L176" s="10">
        <v>12</v>
      </c>
      <c r="M176" s="10">
        <v>3</v>
      </c>
      <c r="N176" s="6" t="s">
        <v>1684</v>
      </c>
      <c r="O176" s="6" t="s">
        <v>1028</v>
      </c>
      <c r="P176" s="27" t="s">
        <v>42</v>
      </c>
      <c r="Q176" s="7">
        <v>45181</v>
      </c>
      <c r="R176" s="7"/>
      <c r="S176" s="6" t="s">
        <v>45</v>
      </c>
      <c r="T176" s="7">
        <v>45887</v>
      </c>
      <c r="U176" s="34">
        <v>45533</v>
      </c>
    </row>
    <row r="177" spans="1:21" x14ac:dyDescent="0.35">
      <c r="A177" s="5" t="s">
        <v>1286</v>
      </c>
      <c r="B177" s="6" t="s">
        <v>419</v>
      </c>
      <c r="C177" s="6" t="s">
        <v>732</v>
      </c>
      <c r="D177" s="6" t="str">
        <f>VLOOKUP(B:B,'[2]Hakata Island Team'!$E:$G,3,)</f>
        <v>Rupak Chundayil Kalam</v>
      </c>
      <c r="E177" s="6" t="str">
        <f>VLOOKUP(B:B,'[2]Hakata Island Team'!$E:$H,4,)</f>
        <v>SPPL Fleet - B</v>
      </c>
      <c r="F177" s="6" t="s">
        <v>1542</v>
      </c>
      <c r="G177" s="6" t="s">
        <v>1035</v>
      </c>
      <c r="H177" s="7">
        <v>45898</v>
      </c>
      <c r="I177" s="6" t="s">
        <v>1288</v>
      </c>
      <c r="J177" s="6" t="s">
        <v>45</v>
      </c>
      <c r="K177" s="6" t="s">
        <v>45</v>
      </c>
      <c r="L177" s="10">
        <v>12</v>
      </c>
      <c r="M177" s="10">
        <v>3</v>
      </c>
      <c r="N177" s="6" t="s">
        <v>1684</v>
      </c>
      <c r="O177" s="6" t="s">
        <v>1036</v>
      </c>
      <c r="P177" s="27" t="s">
        <v>42</v>
      </c>
      <c r="Q177" s="7">
        <v>45181</v>
      </c>
      <c r="R177" s="7"/>
      <c r="S177" s="6" t="s">
        <v>45</v>
      </c>
      <c r="T177" s="7"/>
      <c r="U177" s="34">
        <v>45533</v>
      </c>
    </row>
    <row r="178" spans="1:21" x14ac:dyDescent="0.35">
      <c r="A178" s="5" t="s">
        <v>1360</v>
      </c>
      <c r="B178" s="6" t="s">
        <v>419</v>
      </c>
      <c r="C178" s="6" t="s">
        <v>732</v>
      </c>
      <c r="D178" s="6" t="str">
        <f>VLOOKUP(B:B,'[2]Hakata Island Team'!$E:$G,3,)</f>
        <v>Rupak Chundayil Kalam</v>
      </c>
      <c r="E178" s="6" t="str">
        <f>VLOOKUP(B:B,'[2]Hakata Island Team'!$E:$H,4,)</f>
        <v>SPPL Fleet - B</v>
      </c>
      <c r="F178" s="6" t="s">
        <v>1542</v>
      </c>
      <c r="G178" s="6" t="s">
        <v>1035</v>
      </c>
      <c r="H178" s="7">
        <v>45898</v>
      </c>
      <c r="I178" s="6" t="s">
        <v>1361</v>
      </c>
      <c r="J178" s="6" t="s">
        <v>45</v>
      </c>
      <c r="K178" s="6" t="s">
        <v>45</v>
      </c>
      <c r="L178" s="10">
        <v>12</v>
      </c>
      <c r="M178" s="10">
        <v>3</v>
      </c>
      <c r="N178" s="6" t="s">
        <v>1684</v>
      </c>
      <c r="O178" s="6" t="s">
        <v>1036</v>
      </c>
      <c r="P178" s="27" t="s">
        <v>42</v>
      </c>
      <c r="Q178" s="7">
        <v>45181</v>
      </c>
      <c r="R178" s="7"/>
      <c r="S178" s="6" t="s">
        <v>45</v>
      </c>
      <c r="T178" s="7"/>
      <c r="U178" s="34">
        <v>45533</v>
      </c>
    </row>
    <row r="179" spans="1:21" x14ac:dyDescent="0.35">
      <c r="A179" s="5" t="s">
        <v>1335</v>
      </c>
      <c r="B179" s="6" t="s">
        <v>419</v>
      </c>
      <c r="C179" s="6" t="s">
        <v>732</v>
      </c>
      <c r="D179" s="6" t="str">
        <f>VLOOKUP(B:B,'[2]Hakata Island Team'!$E:$G,3,)</f>
        <v>Rupak Chundayil Kalam</v>
      </c>
      <c r="E179" s="6" t="str">
        <f>VLOOKUP(B:B,'[2]Hakata Island Team'!$E:$H,4,)</f>
        <v>SPPL Fleet - B</v>
      </c>
      <c r="F179" s="6" t="s">
        <v>1542</v>
      </c>
      <c r="G179" s="6" t="s">
        <v>1035</v>
      </c>
      <c r="H179" s="7">
        <v>45898</v>
      </c>
      <c r="I179" s="6" t="s">
        <v>1336</v>
      </c>
      <c r="J179" s="6" t="s">
        <v>45</v>
      </c>
      <c r="K179" s="6" t="s">
        <v>45</v>
      </c>
      <c r="L179" s="10">
        <v>12</v>
      </c>
      <c r="M179" s="10">
        <v>3</v>
      </c>
      <c r="N179" s="6" t="s">
        <v>1684</v>
      </c>
      <c r="O179" s="6" t="s">
        <v>1036</v>
      </c>
      <c r="P179" s="27" t="s">
        <v>42</v>
      </c>
      <c r="Q179" s="7">
        <v>45181</v>
      </c>
      <c r="R179" s="7"/>
      <c r="S179" s="6" t="s">
        <v>45</v>
      </c>
      <c r="T179" s="7"/>
      <c r="U179" s="34">
        <v>45533</v>
      </c>
    </row>
    <row r="180" spans="1:21" x14ac:dyDescent="0.35">
      <c r="A180" s="5" t="s">
        <v>1328</v>
      </c>
      <c r="B180" s="6" t="s">
        <v>419</v>
      </c>
      <c r="C180" s="6" t="s">
        <v>732</v>
      </c>
      <c r="D180" s="6" t="str">
        <f>VLOOKUP(B:B,'[2]Hakata Island Team'!$E:$G,3,)</f>
        <v>Rupak Chundayil Kalam</v>
      </c>
      <c r="E180" s="6" t="str">
        <f>VLOOKUP(B:B,'[2]Hakata Island Team'!$E:$H,4,)</f>
        <v>SPPL Fleet - B</v>
      </c>
      <c r="F180" s="6" t="s">
        <v>1542</v>
      </c>
      <c r="G180" s="6" t="s">
        <v>1035</v>
      </c>
      <c r="H180" s="7">
        <v>45898</v>
      </c>
      <c r="I180" s="6" t="s">
        <v>1329</v>
      </c>
      <c r="J180" s="6" t="s">
        <v>45</v>
      </c>
      <c r="K180" s="6" t="s">
        <v>45</v>
      </c>
      <c r="L180" s="10">
        <v>12</v>
      </c>
      <c r="M180" s="10">
        <v>3</v>
      </c>
      <c r="N180" s="6" t="s">
        <v>1684</v>
      </c>
      <c r="O180" s="6" t="s">
        <v>1036</v>
      </c>
      <c r="P180" s="27" t="s">
        <v>42</v>
      </c>
      <c r="Q180" s="7">
        <v>45181</v>
      </c>
      <c r="R180" s="7"/>
      <c r="S180" s="6" t="s">
        <v>45</v>
      </c>
      <c r="T180" s="7"/>
      <c r="U180" s="34">
        <v>45533</v>
      </c>
    </row>
    <row r="181" spans="1:21" x14ac:dyDescent="0.35">
      <c r="A181" s="5" t="s">
        <v>1306</v>
      </c>
      <c r="B181" s="6" t="s">
        <v>419</v>
      </c>
      <c r="C181" s="6" t="s">
        <v>732</v>
      </c>
      <c r="D181" s="6" t="str">
        <f>VLOOKUP(B:B,'[2]Hakata Island Team'!$E:$G,3,)</f>
        <v>Rupak Chundayil Kalam</v>
      </c>
      <c r="E181" s="6" t="str">
        <f>VLOOKUP(B:B,'[2]Hakata Island Team'!$E:$H,4,)</f>
        <v>SPPL Fleet - B</v>
      </c>
      <c r="F181" s="6" t="s">
        <v>1581</v>
      </c>
      <c r="G181" s="6" t="s">
        <v>1433</v>
      </c>
      <c r="H181" s="7">
        <v>46067</v>
      </c>
      <c r="I181" s="6" t="s">
        <v>1307</v>
      </c>
      <c r="J181" s="6" t="s">
        <v>45</v>
      </c>
      <c r="K181" s="6" t="s">
        <v>45</v>
      </c>
      <c r="L181" s="10">
        <v>29</v>
      </c>
      <c r="M181" s="10">
        <v>3</v>
      </c>
      <c r="N181" s="6" t="s">
        <v>1685</v>
      </c>
      <c r="O181" s="6" t="s">
        <v>1036</v>
      </c>
      <c r="P181" s="27" t="s">
        <v>42</v>
      </c>
      <c r="Q181" s="7">
        <v>45794</v>
      </c>
      <c r="R181" s="7"/>
      <c r="S181" s="6" t="s">
        <v>45</v>
      </c>
      <c r="T181" s="7"/>
      <c r="U181" s="34"/>
    </row>
    <row r="182" spans="1:21" x14ac:dyDescent="0.35">
      <c r="A182" s="5" t="s">
        <v>1321</v>
      </c>
      <c r="B182" s="6" t="s">
        <v>419</v>
      </c>
      <c r="C182" s="6" t="s">
        <v>732</v>
      </c>
      <c r="D182" s="6" t="str">
        <f>VLOOKUP(B:B,'[2]Hakata Island Team'!$E:$G,3,)</f>
        <v>Rupak Chundayil Kalam</v>
      </c>
      <c r="E182" s="6" t="str">
        <f>VLOOKUP(B:B,'[2]Hakata Island Team'!$E:$H,4,)</f>
        <v>SPPL Fleet - B</v>
      </c>
      <c r="F182" s="6" t="s">
        <v>1542</v>
      </c>
      <c r="G182" s="6" t="s">
        <v>1035</v>
      </c>
      <c r="H182" s="7">
        <v>45898</v>
      </c>
      <c r="I182" s="6" t="s">
        <v>1322</v>
      </c>
      <c r="J182" s="6" t="s">
        <v>45</v>
      </c>
      <c r="K182" s="6" t="s">
        <v>45</v>
      </c>
      <c r="L182" s="10">
        <v>12</v>
      </c>
      <c r="M182" s="10">
        <v>3</v>
      </c>
      <c r="N182" s="6" t="s">
        <v>1684</v>
      </c>
      <c r="O182" s="6" t="s">
        <v>1036</v>
      </c>
      <c r="P182" s="27" t="s">
        <v>42</v>
      </c>
      <c r="Q182" s="7">
        <v>45181</v>
      </c>
      <c r="R182" s="7"/>
      <c r="S182" s="6" t="s">
        <v>45</v>
      </c>
      <c r="T182" s="7"/>
      <c r="U182" s="34">
        <v>45533</v>
      </c>
    </row>
    <row r="183" spans="1:21" x14ac:dyDescent="0.35">
      <c r="A183" s="5" t="s">
        <v>1446</v>
      </c>
      <c r="B183" s="6" t="s">
        <v>419</v>
      </c>
      <c r="C183" s="6" t="s">
        <v>732</v>
      </c>
      <c r="D183" s="6" t="str">
        <f>VLOOKUP(B:B,'[2]Hakata Island Team'!$E:$G,3,)</f>
        <v>Rupak Chundayil Kalam</v>
      </c>
      <c r="E183" s="6" t="str">
        <f>VLOOKUP(B:B,'[2]Hakata Island Team'!$E:$H,4,)</f>
        <v>SPPL Fleet - B</v>
      </c>
      <c r="F183" s="6" t="s">
        <v>1581</v>
      </c>
      <c r="G183" s="6" t="s">
        <v>1433</v>
      </c>
      <c r="H183" s="7">
        <v>46073</v>
      </c>
      <c r="I183" s="6" t="s">
        <v>1447</v>
      </c>
      <c r="J183" s="6" t="s">
        <v>45</v>
      </c>
      <c r="K183" s="6" t="s">
        <v>45</v>
      </c>
      <c r="L183" s="10">
        <v>29</v>
      </c>
      <c r="M183" s="10">
        <v>3</v>
      </c>
      <c r="N183" s="6" t="s">
        <v>1686</v>
      </c>
      <c r="O183" s="6" t="s">
        <v>1036</v>
      </c>
      <c r="P183" s="27" t="s">
        <v>42</v>
      </c>
      <c r="Q183" s="7">
        <v>45639</v>
      </c>
      <c r="R183" s="7"/>
      <c r="S183" s="6" t="s">
        <v>45</v>
      </c>
      <c r="T183" s="7"/>
      <c r="U183" s="34"/>
    </row>
    <row r="184" spans="1:21" x14ac:dyDescent="0.35">
      <c r="A184" s="5" t="s">
        <v>1252</v>
      </c>
      <c r="B184" s="6" t="s">
        <v>419</v>
      </c>
      <c r="C184" s="6" t="s">
        <v>732</v>
      </c>
      <c r="D184" s="6" t="str">
        <f>VLOOKUP(B:B,'[2]Hakata Island Team'!$E:$G,3,)</f>
        <v>Rupak Chundayil Kalam</v>
      </c>
      <c r="E184" s="6" t="str">
        <f>VLOOKUP(B:B,'[2]Hakata Island Team'!$E:$H,4,)</f>
        <v>SPPL Fleet - B</v>
      </c>
      <c r="F184" s="6" t="s">
        <v>1542</v>
      </c>
      <c r="G184" s="6" t="s">
        <v>1035</v>
      </c>
      <c r="H184" s="7">
        <v>45703</v>
      </c>
      <c r="I184" s="6" t="s">
        <v>1253</v>
      </c>
      <c r="J184" s="6" t="s">
        <v>45</v>
      </c>
      <c r="K184" s="6" t="s">
        <v>45</v>
      </c>
      <c r="L184" s="10">
        <v>12</v>
      </c>
      <c r="M184" s="10">
        <v>3</v>
      </c>
      <c r="N184" s="6" t="s">
        <v>1687</v>
      </c>
      <c r="O184" s="6" t="s">
        <v>1036</v>
      </c>
      <c r="P184" s="27" t="s">
        <v>42</v>
      </c>
      <c r="Q184" s="7">
        <v>45337</v>
      </c>
      <c r="R184" s="7"/>
      <c r="S184" s="6" t="s">
        <v>45</v>
      </c>
      <c r="T184" s="7"/>
      <c r="U184" s="34"/>
    </row>
    <row r="185" spans="1:21" x14ac:dyDescent="0.35">
      <c r="A185" s="5" t="s">
        <v>1309</v>
      </c>
      <c r="B185" s="6" t="s">
        <v>419</v>
      </c>
      <c r="C185" s="6" t="s">
        <v>732</v>
      </c>
      <c r="D185" s="6" t="str">
        <f>VLOOKUP(B:B,'[2]Hakata Island Team'!$E:$G,3,)</f>
        <v>Rupak Chundayil Kalam</v>
      </c>
      <c r="E185" s="6" t="str">
        <f>VLOOKUP(B:B,'[2]Hakata Island Team'!$E:$H,4,)</f>
        <v>SPPL Fleet - B</v>
      </c>
      <c r="F185" s="6" t="s">
        <v>1542</v>
      </c>
      <c r="G185" s="6" t="s">
        <v>1035</v>
      </c>
      <c r="H185" s="7">
        <v>45898</v>
      </c>
      <c r="I185" s="6" t="s">
        <v>1310</v>
      </c>
      <c r="J185" s="6" t="s">
        <v>45</v>
      </c>
      <c r="K185" s="6" t="s">
        <v>45</v>
      </c>
      <c r="L185" s="10">
        <v>12</v>
      </c>
      <c r="M185" s="10">
        <v>3</v>
      </c>
      <c r="N185" s="6" t="s">
        <v>1684</v>
      </c>
      <c r="O185" s="6" t="s">
        <v>1036</v>
      </c>
      <c r="P185" s="27" t="s">
        <v>42</v>
      </c>
      <c r="Q185" s="7">
        <v>45202</v>
      </c>
      <c r="R185" s="7"/>
      <c r="S185" s="6" t="s">
        <v>45</v>
      </c>
      <c r="T185" s="7"/>
      <c r="U185" s="34">
        <v>45533</v>
      </c>
    </row>
    <row r="186" spans="1:21" x14ac:dyDescent="0.35">
      <c r="A186" s="5" t="s">
        <v>1297</v>
      </c>
      <c r="B186" s="6" t="s">
        <v>419</v>
      </c>
      <c r="C186" s="6" t="s">
        <v>732</v>
      </c>
      <c r="D186" s="6" t="str">
        <f>VLOOKUP(B:B,'[2]Hakata Island Team'!$E:$G,3,)</f>
        <v>Rupak Chundayil Kalam</v>
      </c>
      <c r="E186" s="6" t="str">
        <f>VLOOKUP(B:B,'[2]Hakata Island Team'!$E:$H,4,)</f>
        <v>SPPL Fleet - B</v>
      </c>
      <c r="F186" s="6" t="s">
        <v>1534</v>
      </c>
      <c r="G186" s="6" t="s">
        <v>1535</v>
      </c>
      <c r="H186" s="7">
        <v>46100</v>
      </c>
      <c r="I186" s="6" t="s">
        <v>1298</v>
      </c>
      <c r="J186" s="6" t="s">
        <v>45</v>
      </c>
      <c r="K186" s="6" t="s">
        <v>45</v>
      </c>
      <c r="L186" s="10">
        <v>29</v>
      </c>
      <c r="M186" s="10">
        <v>0</v>
      </c>
      <c r="N186" s="6" t="s">
        <v>1537</v>
      </c>
      <c r="O186" s="6" t="s">
        <v>1036</v>
      </c>
      <c r="P186" s="27" t="s">
        <v>42</v>
      </c>
      <c r="Q186" s="7">
        <v>45218</v>
      </c>
      <c r="R186" s="7"/>
      <c r="S186" s="6" t="s">
        <v>45</v>
      </c>
      <c r="T186" s="7"/>
      <c r="U186" s="34"/>
    </row>
    <row r="187" spans="1:21" x14ac:dyDescent="0.35">
      <c r="A187" s="5" t="s">
        <v>1297</v>
      </c>
      <c r="B187" s="6" t="s">
        <v>419</v>
      </c>
      <c r="C187" s="6" t="s">
        <v>732</v>
      </c>
      <c r="D187" s="6" t="str">
        <f>VLOOKUP(B:B,'[2]Hakata Island Team'!$E:$G,3,)</f>
        <v>Rupak Chundayil Kalam</v>
      </c>
      <c r="E187" s="6" t="str">
        <f>VLOOKUP(B:B,'[2]Hakata Island Team'!$E:$H,4,)</f>
        <v>SPPL Fleet - B</v>
      </c>
      <c r="F187" s="6" t="s">
        <v>1538</v>
      </c>
      <c r="G187" s="6" t="s">
        <v>1535</v>
      </c>
      <c r="H187" s="7">
        <v>46100</v>
      </c>
      <c r="I187" s="6" t="s">
        <v>1298</v>
      </c>
      <c r="J187" s="6" t="s">
        <v>45</v>
      </c>
      <c r="K187" s="6" t="s">
        <v>45</v>
      </c>
      <c r="L187" s="10">
        <v>29</v>
      </c>
      <c r="M187" s="10">
        <v>0</v>
      </c>
      <c r="N187" s="6" t="s">
        <v>1537</v>
      </c>
      <c r="O187" s="6" t="s">
        <v>1036</v>
      </c>
      <c r="P187" s="27" t="s">
        <v>42</v>
      </c>
      <c r="Q187" s="7">
        <v>45218</v>
      </c>
      <c r="R187" s="7"/>
      <c r="S187" s="6" t="s">
        <v>45</v>
      </c>
      <c r="T187" s="7"/>
      <c r="U187" s="34"/>
    </row>
    <row r="188" spans="1:21" x14ac:dyDescent="0.35">
      <c r="A188" s="5" t="s">
        <v>1297</v>
      </c>
      <c r="B188" s="6" t="s">
        <v>419</v>
      </c>
      <c r="C188" s="6" t="s">
        <v>732</v>
      </c>
      <c r="D188" s="6" t="str">
        <f>VLOOKUP(B:B,'[2]Hakata Island Team'!$E:$G,3,)</f>
        <v>Rupak Chundayil Kalam</v>
      </c>
      <c r="E188" s="6" t="str">
        <f>VLOOKUP(B:B,'[2]Hakata Island Team'!$E:$H,4,)</f>
        <v>SPPL Fleet - B</v>
      </c>
      <c r="F188" s="6" t="s">
        <v>1542</v>
      </c>
      <c r="G188" s="6" t="s">
        <v>1035</v>
      </c>
      <c r="H188" s="7">
        <v>45898</v>
      </c>
      <c r="I188" s="6" t="s">
        <v>1298</v>
      </c>
      <c r="J188" s="6" t="s">
        <v>45</v>
      </c>
      <c r="K188" s="6" t="s">
        <v>45</v>
      </c>
      <c r="L188" s="10">
        <v>12</v>
      </c>
      <c r="M188" s="10">
        <v>3</v>
      </c>
      <c r="N188" s="6" t="s">
        <v>1684</v>
      </c>
      <c r="O188" s="6" t="s">
        <v>1036</v>
      </c>
      <c r="P188" s="27" t="s">
        <v>42</v>
      </c>
      <c r="Q188" s="7">
        <v>45218</v>
      </c>
      <c r="R188" s="7"/>
      <c r="S188" s="6" t="s">
        <v>45</v>
      </c>
      <c r="T188" s="7"/>
      <c r="U188" s="34">
        <v>45533</v>
      </c>
    </row>
    <row r="189" spans="1:21" x14ac:dyDescent="0.35">
      <c r="A189" s="5" t="s">
        <v>1571</v>
      </c>
      <c r="B189" s="6" t="s">
        <v>419</v>
      </c>
      <c r="C189" s="6" t="s">
        <v>732</v>
      </c>
      <c r="D189" s="6" t="str">
        <f>VLOOKUP(B:B,'[2]Hakata Island Team'!$E:$G,3,)</f>
        <v>Rupak Chundayil Kalam</v>
      </c>
      <c r="E189" s="6" t="str">
        <f>VLOOKUP(B:B,'[2]Hakata Island Team'!$E:$H,4,)</f>
        <v>SPPL Fleet - B</v>
      </c>
      <c r="F189" s="6" t="s">
        <v>1621</v>
      </c>
      <c r="G189" s="6" t="s">
        <v>1035</v>
      </c>
      <c r="H189" s="7">
        <v>45560</v>
      </c>
      <c r="I189" s="6" t="s">
        <v>1572</v>
      </c>
      <c r="J189" s="6" t="s">
        <v>45</v>
      </c>
      <c r="K189" s="6" t="s">
        <v>45</v>
      </c>
      <c r="L189" s="10">
        <v>12</v>
      </c>
      <c r="M189" s="10">
        <v>3</v>
      </c>
      <c r="N189" s="6" t="s">
        <v>1688</v>
      </c>
      <c r="O189" s="6" t="s">
        <v>1036</v>
      </c>
      <c r="P189" s="27" t="s">
        <v>42</v>
      </c>
      <c r="Q189" s="7">
        <v>45194</v>
      </c>
      <c r="R189" s="7"/>
      <c r="S189" s="6" t="s">
        <v>45</v>
      </c>
      <c r="T189" s="7"/>
      <c r="U189" s="34"/>
    </row>
    <row r="190" spans="1:21" x14ac:dyDescent="0.35">
      <c r="A190" s="5" t="s">
        <v>1297</v>
      </c>
      <c r="B190" s="6" t="s">
        <v>280</v>
      </c>
      <c r="C190" s="6" t="s">
        <v>839</v>
      </c>
      <c r="D190" s="6" t="str">
        <f>VLOOKUP(B:B,'[2]Hakata Island Team'!$E:$G,3,)</f>
        <v xml:space="preserve">Sujith Sundaran </v>
      </c>
      <c r="E190" s="6" t="str">
        <f>VLOOKUP(B:B,'[2]Hakata Island Team'!$E:$H,4,)</f>
        <v>SPPL Fleet - B</v>
      </c>
      <c r="F190" s="6" t="s">
        <v>1542</v>
      </c>
      <c r="G190" s="6" t="s">
        <v>1035</v>
      </c>
      <c r="H190" s="7">
        <v>45640</v>
      </c>
      <c r="I190" s="6" t="s">
        <v>1298</v>
      </c>
      <c r="J190" s="6" t="s">
        <v>45</v>
      </c>
      <c r="K190" s="6" t="s">
        <v>45</v>
      </c>
      <c r="L190" s="10">
        <v>12</v>
      </c>
      <c r="M190" s="10">
        <v>3</v>
      </c>
      <c r="N190" s="6" t="s">
        <v>1689</v>
      </c>
      <c r="O190" s="6" t="s">
        <v>1036</v>
      </c>
      <c r="P190" s="27" t="s">
        <v>42</v>
      </c>
      <c r="Q190" s="7">
        <v>45274</v>
      </c>
      <c r="R190" s="7"/>
      <c r="S190" s="6" t="s">
        <v>45</v>
      </c>
      <c r="T190" s="7"/>
      <c r="U190" s="34"/>
    </row>
    <row r="191" spans="1:21" x14ac:dyDescent="0.35">
      <c r="A191" s="5" t="s">
        <v>1297</v>
      </c>
      <c r="B191" s="6" t="s">
        <v>280</v>
      </c>
      <c r="C191" s="6" t="s">
        <v>839</v>
      </c>
      <c r="D191" s="6" t="str">
        <f>VLOOKUP(B:B,'[2]Hakata Island Team'!$E:$G,3,)</f>
        <v xml:space="preserve">Sujith Sundaran </v>
      </c>
      <c r="E191" s="6" t="str">
        <f>VLOOKUP(B:B,'[2]Hakata Island Team'!$E:$H,4,)</f>
        <v>SPPL Fleet - B</v>
      </c>
      <c r="F191" s="6" t="s">
        <v>1534</v>
      </c>
      <c r="G191" s="6" t="s">
        <v>1535</v>
      </c>
      <c r="H191" s="7">
        <v>46156</v>
      </c>
      <c r="I191" s="6" t="s">
        <v>1298</v>
      </c>
      <c r="J191" s="6" t="s">
        <v>45</v>
      </c>
      <c r="K191" s="6" t="s">
        <v>45</v>
      </c>
      <c r="L191" s="10">
        <v>29</v>
      </c>
      <c r="M191" s="10">
        <v>0</v>
      </c>
      <c r="N191" s="6" t="s">
        <v>1537</v>
      </c>
      <c r="O191" s="6" t="s">
        <v>1036</v>
      </c>
      <c r="P191" s="27" t="s">
        <v>42</v>
      </c>
      <c r="Q191" s="7">
        <v>45274</v>
      </c>
      <c r="R191" s="7"/>
      <c r="S191" s="6" t="s">
        <v>45</v>
      </c>
      <c r="T191" s="7"/>
      <c r="U191" s="34"/>
    </row>
    <row r="192" spans="1:21" x14ac:dyDescent="0.35">
      <c r="A192" s="5" t="s">
        <v>1297</v>
      </c>
      <c r="B192" s="6" t="s">
        <v>280</v>
      </c>
      <c r="C192" s="6" t="s">
        <v>839</v>
      </c>
      <c r="D192" s="6" t="str">
        <f>VLOOKUP(B:B,'[2]Hakata Island Team'!$E:$G,3,)</f>
        <v xml:space="preserve">Sujith Sundaran </v>
      </c>
      <c r="E192" s="6" t="str">
        <f>VLOOKUP(B:B,'[2]Hakata Island Team'!$E:$H,4,)</f>
        <v>SPPL Fleet - B</v>
      </c>
      <c r="F192" s="6" t="s">
        <v>1538</v>
      </c>
      <c r="G192" s="6" t="s">
        <v>1535</v>
      </c>
      <c r="H192" s="7">
        <v>46156</v>
      </c>
      <c r="I192" s="6" t="s">
        <v>1298</v>
      </c>
      <c r="J192" s="6" t="s">
        <v>45</v>
      </c>
      <c r="K192" s="6" t="s">
        <v>45</v>
      </c>
      <c r="L192" s="10">
        <v>29</v>
      </c>
      <c r="M192" s="10">
        <v>0</v>
      </c>
      <c r="N192" s="6" t="s">
        <v>1537</v>
      </c>
      <c r="O192" s="6" t="s">
        <v>1036</v>
      </c>
      <c r="P192" s="27" t="s">
        <v>42</v>
      </c>
      <c r="Q192" s="7">
        <v>45274</v>
      </c>
      <c r="R192" s="7"/>
      <c r="S192" s="6" t="s">
        <v>45</v>
      </c>
      <c r="T192" s="7"/>
      <c r="U192" s="34"/>
    </row>
    <row r="193" spans="1:21" x14ac:dyDescent="0.35">
      <c r="A193" s="5" t="s">
        <v>1571</v>
      </c>
      <c r="B193" s="6" t="s">
        <v>280</v>
      </c>
      <c r="C193" s="6" t="s">
        <v>839</v>
      </c>
      <c r="D193" s="6" t="str">
        <f>VLOOKUP(B:B,'[2]Hakata Island Team'!$E:$G,3,)</f>
        <v xml:space="preserve">Sujith Sundaran </v>
      </c>
      <c r="E193" s="6" t="str">
        <f>VLOOKUP(B:B,'[2]Hakata Island Team'!$E:$H,4,)</f>
        <v>SPPL Fleet - B</v>
      </c>
      <c r="F193" s="6" t="s">
        <v>1621</v>
      </c>
      <c r="G193" s="6" t="s">
        <v>1035</v>
      </c>
      <c r="H193" s="7">
        <v>45634</v>
      </c>
      <c r="I193" s="6" t="s">
        <v>1572</v>
      </c>
      <c r="J193" s="6" t="s">
        <v>45</v>
      </c>
      <c r="K193" s="6" t="s">
        <v>45</v>
      </c>
      <c r="L193" s="10">
        <v>12</v>
      </c>
      <c r="M193" s="10">
        <v>3</v>
      </c>
      <c r="N193" s="6" t="s">
        <v>1690</v>
      </c>
      <c r="O193" s="6" t="s">
        <v>1036</v>
      </c>
      <c r="P193" s="27" t="s">
        <v>42</v>
      </c>
      <c r="Q193" s="7">
        <v>45268</v>
      </c>
      <c r="R193" s="7"/>
      <c r="S193" s="6" t="s">
        <v>45</v>
      </c>
      <c r="T193" s="7"/>
      <c r="U193" s="34"/>
    </row>
    <row r="194" spans="1:21" x14ac:dyDescent="0.35">
      <c r="A194" s="5" t="s">
        <v>1024</v>
      </c>
      <c r="B194" s="6" t="s">
        <v>280</v>
      </c>
      <c r="C194" s="6" t="s">
        <v>839</v>
      </c>
      <c r="D194" s="6" t="str">
        <f>VLOOKUP(B:B,'[2]Hakata Island Team'!$E:$G,3,)</f>
        <v xml:space="preserve">Sujith Sundaran </v>
      </c>
      <c r="E194" s="6" t="str">
        <f>VLOOKUP(B:B,'[2]Hakata Island Team'!$E:$H,4,)</f>
        <v>SPPL Fleet - B</v>
      </c>
      <c r="F194" s="6" t="s">
        <v>1574</v>
      </c>
      <c r="G194" s="6" t="s">
        <v>1184</v>
      </c>
      <c r="H194" s="7">
        <v>45610</v>
      </c>
      <c r="I194" s="6" t="s">
        <v>1026</v>
      </c>
      <c r="J194" s="6" t="s">
        <v>45</v>
      </c>
      <c r="K194" s="6" t="s">
        <v>45</v>
      </c>
      <c r="L194" s="10">
        <v>12</v>
      </c>
      <c r="M194" s="10">
        <v>0</v>
      </c>
      <c r="N194" s="6" t="s">
        <v>1537</v>
      </c>
      <c r="O194" s="6" t="s">
        <v>1108</v>
      </c>
      <c r="P194" s="27" t="s">
        <v>42</v>
      </c>
      <c r="Q194" s="7">
        <v>45244</v>
      </c>
      <c r="R194" s="7"/>
      <c r="S194" s="6" t="s">
        <v>45</v>
      </c>
      <c r="T194" s="7"/>
      <c r="U194" s="34"/>
    </row>
    <row r="195" spans="1:21" x14ac:dyDescent="0.35">
      <c r="A195" s="5" t="s">
        <v>1024</v>
      </c>
      <c r="B195" s="6" t="s">
        <v>280</v>
      </c>
      <c r="C195" s="6" t="s">
        <v>839</v>
      </c>
      <c r="D195" s="6" t="str">
        <f>VLOOKUP(B:B,'[2]Hakata Island Team'!$E:$G,3,)</f>
        <v xml:space="preserve">Sujith Sundaran </v>
      </c>
      <c r="E195" s="6" t="str">
        <f>VLOOKUP(B:B,'[2]Hakata Island Team'!$E:$H,4,)</f>
        <v>SPPL Fleet - B</v>
      </c>
      <c r="F195" s="6" t="s">
        <v>1575</v>
      </c>
      <c r="G195" s="6" t="s">
        <v>1184</v>
      </c>
      <c r="H195" s="7">
        <v>45610</v>
      </c>
      <c r="I195" s="6" t="s">
        <v>1026</v>
      </c>
      <c r="J195" s="6" t="s">
        <v>45</v>
      </c>
      <c r="K195" s="6" t="s">
        <v>45</v>
      </c>
      <c r="L195" s="10">
        <v>12</v>
      </c>
      <c r="M195" s="10">
        <v>0</v>
      </c>
      <c r="N195" s="6" t="s">
        <v>1537</v>
      </c>
      <c r="O195" s="6" t="s">
        <v>1108</v>
      </c>
      <c r="P195" s="27" t="s">
        <v>42</v>
      </c>
      <c r="Q195" s="7">
        <v>45244</v>
      </c>
      <c r="R195" s="7"/>
      <c r="S195" s="6" t="s">
        <v>45</v>
      </c>
      <c r="T195" s="7"/>
      <c r="U195" s="34"/>
    </row>
    <row r="196" spans="1:21" x14ac:dyDescent="0.35">
      <c r="A196" s="5" t="s">
        <v>1024</v>
      </c>
      <c r="B196" s="6" t="s">
        <v>280</v>
      </c>
      <c r="C196" s="6" t="s">
        <v>839</v>
      </c>
      <c r="D196" s="6" t="str">
        <f>VLOOKUP(B:B,'[2]Hakata Island Team'!$E:$G,3,)</f>
        <v xml:space="preserve">Sujith Sundaran </v>
      </c>
      <c r="E196" s="6" t="str">
        <f>VLOOKUP(B:B,'[2]Hakata Island Team'!$E:$H,4,)</f>
        <v>SPPL Fleet - B</v>
      </c>
      <c r="F196" s="6" t="s">
        <v>1576</v>
      </c>
      <c r="G196" s="6" t="s">
        <v>1184</v>
      </c>
      <c r="H196" s="7">
        <v>45610</v>
      </c>
      <c r="I196" s="6" t="s">
        <v>1026</v>
      </c>
      <c r="J196" s="6" t="s">
        <v>45</v>
      </c>
      <c r="K196" s="6" t="s">
        <v>45</v>
      </c>
      <c r="L196" s="10">
        <v>12</v>
      </c>
      <c r="M196" s="10">
        <v>0</v>
      </c>
      <c r="N196" s="6" t="s">
        <v>1537</v>
      </c>
      <c r="O196" s="6" t="s">
        <v>1108</v>
      </c>
      <c r="P196" s="27" t="s">
        <v>42</v>
      </c>
      <c r="Q196" s="7">
        <v>45244</v>
      </c>
      <c r="R196" s="7"/>
      <c r="S196" s="6" t="s">
        <v>45</v>
      </c>
      <c r="T196" s="7"/>
      <c r="U196" s="34"/>
    </row>
    <row r="197" spans="1:21" x14ac:dyDescent="0.35">
      <c r="A197" s="5" t="s">
        <v>1024</v>
      </c>
      <c r="B197" s="6" t="s">
        <v>280</v>
      </c>
      <c r="C197" s="6" t="s">
        <v>839</v>
      </c>
      <c r="D197" s="6" t="str">
        <f>VLOOKUP(B:B,'[2]Hakata Island Team'!$E:$G,3,)</f>
        <v xml:space="preserve">Sujith Sundaran </v>
      </c>
      <c r="E197" s="6" t="str">
        <f>VLOOKUP(B:B,'[2]Hakata Island Team'!$E:$H,4,)</f>
        <v>SPPL Fleet - B</v>
      </c>
      <c r="F197" s="6" t="s">
        <v>1577</v>
      </c>
      <c r="G197" s="6" t="s">
        <v>1184</v>
      </c>
      <c r="H197" s="7">
        <v>45610</v>
      </c>
      <c r="I197" s="6" t="s">
        <v>1026</v>
      </c>
      <c r="J197" s="6" t="s">
        <v>45</v>
      </c>
      <c r="K197" s="6" t="s">
        <v>45</v>
      </c>
      <c r="L197" s="10">
        <v>12</v>
      </c>
      <c r="M197" s="10">
        <v>0</v>
      </c>
      <c r="N197" s="6" t="s">
        <v>1537</v>
      </c>
      <c r="O197" s="6" t="s">
        <v>1108</v>
      </c>
      <c r="P197" s="27" t="s">
        <v>42</v>
      </c>
      <c r="Q197" s="7">
        <v>45244</v>
      </c>
      <c r="R197" s="7"/>
      <c r="S197" s="6" t="s">
        <v>45</v>
      </c>
      <c r="T197" s="7"/>
      <c r="U197" s="34"/>
    </row>
    <row r="198" spans="1:21" x14ac:dyDescent="0.35">
      <c r="A198" s="5" t="s">
        <v>1024</v>
      </c>
      <c r="B198" s="6" t="s">
        <v>280</v>
      </c>
      <c r="C198" s="6" t="s">
        <v>839</v>
      </c>
      <c r="D198" s="6" t="str">
        <f>VLOOKUP(B:B,'[2]Hakata Island Team'!$E:$G,3,)</f>
        <v xml:space="preserve">Sujith Sundaran </v>
      </c>
      <c r="E198" s="6" t="str">
        <f>VLOOKUP(B:B,'[2]Hakata Island Team'!$E:$H,4,)</f>
        <v>SPPL Fleet - B</v>
      </c>
      <c r="F198" s="6" t="s">
        <v>1578</v>
      </c>
      <c r="G198" s="6" t="s">
        <v>1184</v>
      </c>
      <c r="H198" s="7">
        <v>45610</v>
      </c>
      <c r="I198" s="6" t="s">
        <v>1026</v>
      </c>
      <c r="J198" s="6" t="s">
        <v>45</v>
      </c>
      <c r="K198" s="6" t="s">
        <v>45</v>
      </c>
      <c r="L198" s="10">
        <v>12</v>
      </c>
      <c r="M198" s="10">
        <v>0</v>
      </c>
      <c r="N198" s="6" t="s">
        <v>1537</v>
      </c>
      <c r="O198" s="6" t="s">
        <v>1108</v>
      </c>
      <c r="P198" s="27" t="s">
        <v>42</v>
      </c>
      <c r="Q198" s="7">
        <v>45244</v>
      </c>
      <c r="R198" s="7"/>
      <c r="S198" s="6" t="s">
        <v>45</v>
      </c>
      <c r="T198" s="7"/>
      <c r="U198" s="34"/>
    </row>
    <row r="199" spans="1:21" x14ac:dyDescent="0.35">
      <c r="A199" s="5" t="s">
        <v>1324</v>
      </c>
      <c r="B199" s="6" t="s">
        <v>113</v>
      </c>
      <c r="C199" s="6" t="s">
        <v>826</v>
      </c>
      <c r="D199" s="6" t="str">
        <f>VLOOKUP(B:B,'[2]Hakata Island Team'!$E:$G,3,)</f>
        <v>Rupak Chundayil Kalam</v>
      </c>
      <c r="E199" s="6" t="str">
        <f>VLOOKUP(B:B,'[2]Hakata Island Team'!$E:$H,4,)</f>
        <v>SPPL Fleet - B</v>
      </c>
      <c r="F199" s="6" t="s">
        <v>1542</v>
      </c>
      <c r="G199" s="6" t="s">
        <v>1035</v>
      </c>
      <c r="H199" s="7">
        <v>45793</v>
      </c>
      <c r="I199" s="6" t="s">
        <v>1325</v>
      </c>
      <c r="J199" s="6" t="s">
        <v>45</v>
      </c>
      <c r="K199" s="6" t="s">
        <v>45</v>
      </c>
      <c r="L199" s="10">
        <v>12</v>
      </c>
      <c r="M199" s="10">
        <v>3</v>
      </c>
      <c r="N199" s="6" t="s">
        <v>1691</v>
      </c>
      <c r="O199" s="6" t="s">
        <v>1036</v>
      </c>
      <c r="P199" s="27" t="s">
        <v>42</v>
      </c>
      <c r="Q199" s="7">
        <v>45077</v>
      </c>
      <c r="R199" s="7"/>
      <c r="S199" s="6" t="s">
        <v>45</v>
      </c>
      <c r="T199" s="7"/>
      <c r="U199" s="34">
        <v>45446</v>
      </c>
    </row>
    <row r="200" spans="1:21" x14ac:dyDescent="0.35">
      <c r="A200" s="5" t="s">
        <v>1360</v>
      </c>
      <c r="B200" s="6" t="s">
        <v>113</v>
      </c>
      <c r="C200" s="6" t="s">
        <v>826</v>
      </c>
      <c r="D200" s="6" t="str">
        <f>VLOOKUP(B:B,'[2]Hakata Island Team'!$E:$G,3,)</f>
        <v>Rupak Chundayil Kalam</v>
      </c>
      <c r="E200" s="6" t="str">
        <f>VLOOKUP(B:B,'[2]Hakata Island Team'!$E:$H,4,)</f>
        <v>SPPL Fleet - B</v>
      </c>
      <c r="F200" s="6" t="s">
        <v>1542</v>
      </c>
      <c r="G200" s="6" t="s">
        <v>1035</v>
      </c>
      <c r="H200" s="7">
        <v>45811</v>
      </c>
      <c r="I200" s="6" t="s">
        <v>1361</v>
      </c>
      <c r="J200" s="6" t="s">
        <v>45</v>
      </c>
      <c r="K200" s="6" t="s">
        <v>45</v>
      </c>
      <c r="L200" s="10">
        <v>12</v>
      </c>
      <c r="M200" s="10">
        <v>3</v>
      </c>
      <c r="N200" s="6" t="s">
        <v>1692</v>
      </c>
      <c r="O200" s="6" t="s">
        <v>1125</v>
      </c>
      <c r="P200" s="27" t="s">
        <v>42</v>
      </c>
      <c r="Q200" s="7">
        <v>45077</v>
      </c>
      <c r="R200" s="7"/>
      <c r="S200" s="6" t="s">
        <v>45</v>
      </c>
      <c r="T200" s="7"/>
      <c r="U200" s="34">
        <v>45446</v>
      </c>
    </row>
    <row r="201" spans="1:21" x14ac:dyDescent="0.35">
      <c r="A201" s="5" t="s">
        <v>1335</v>
      </c>
      <c r="B201" s="6" t="s">
        <v>113</v>
      </c>
      <c r="C201" s="6" t="s">
        <v>826</v>
      </c>
      <c r="D201" s="6" t="str">
        <f>VLOOKUP(B:B,'[2]Hakata Island Team'!$E:$G,3,)</f>
        <v>Rupak Chundayil Kalam</v>
      </c>
      <c r="E201" s="6" t="str">
        <f>VLOOKUP(B:B,'[2]Hakata Island Team'!$E:$H,4,)</f>
        <v>SPPL Fleet - B</v>
      </c>
      <c r="F201" s="6" t="s">
        <v>1542</v>
      </c>
      <c r="G201" s="6" t="s">
        <v>1035</v>
      </c>
      <c r="H201" s="7">
        <v>45793</v>
      </c>
      <c r="I201" s="6" t="s">
        <v>1336</v>
      </c>
      <c r="J201" s="6" t="s">
        <v>45</v>
      </c>
      <c r="K201" s="6" t="s">
        <v>45</v>
      </c>
      <c r="L201" s="10">
        <v>12</v>
      </c>
      <c r="M201" s="10">
        <v>3</v>
      </c>
      <c r="N201" s="6" t="s">
        <v>1691</v>
      </c>
      <c r="O201" s="6" t="s">
        <v>1125</v>
      </c>
      <c r="P201" s="27" t="s">
        <v>42</v>
      </c>
      <c r="Q201" s="7">
        <v>45077</v>
      </c>
      <c r="R201" s="7"/>
      <c r="S201" s="6" t="s">
        <v>45</v>
      </c>
      <c r="T201" s="7"/>
      <c r="U201" s="34">
        <v>45446</v>
      </c>
    </row>
    <row r="202" spans="1:21" x14ac:dyDescent="0.35">
      <c r="A202" s="5" t="s">
        <v>1328</v>
      </c>
      <c r="B202" s="6" t="s">
        <v>113</v>
      </c>
      <c r="C202" s="6" t="s">
        <v>826</v>
      </c>
      <c r="D202" s="6" t="str">
        <f>VLOOKUP(B:B,'[2]Hakata Island Team'!$E:$G,3,)</f>
        <v>Rupak Chundayil Kalam</v>
      </c>
      <c r="E202" s="6" t="str">
        <f>VLOOKUP(B:B,'[2]Hakata Island Team'!$E:$H,4,)</f>
        <v>SPPL Fleet - B</v>
      </c>
      <c r="F202" s="6" t="s">
        <v>1542</v>
      </c>
      <c r="G202" s="6" t="s">
        <v>1035</v>
      </c>
      <c r="H202" s="7">
        <v>45793</v>
      </c>
      <c r="I202" s="6" t="s">
        <v>1329</v>
      </c>
      <c r="J202" s="6" t="s">
        <v>45</v>
      </c>
      <c r="K202" s="6" t="s">
        <v>45</v>
      </c>
      <c r="L202" s="10">
        <v>12</v>
      </c>
      <c r="M202" s="10">
        <v>3</v>
      </c>
      <c r="N202" s="6" t="s">
        <v>1691</v>
      </c>
      <c r="O202" s="6" t="s">
        <v>1125</v>
      </c>
      <c r="P202" s="27" t="s">
        <v>42</v>
      </c>
      <c r="Q202" s="7">
        <v>45077</v>
      </c>
      <c r="R202" s="7"/>
      <c r="S202" s="6" t="s">
        <v>45</v>
      </c>
      <c r="T202" s="7"/>
      <c r="U202" s="34">
        <v>45446</v>
      </c>
    </row>
    <row r="203" spans="1:21" x14ac:dyDescent="0.35">
      <c r="A203" s="5" t="s">
        <v>1630</v>
      </c>
      <c r="B203" s="6" t="s">
        <v>113</v>
      </c>
      <c r="C203" s="6" t="s">
        <v>826</v>
      </c>
      <c r="D203" s="6" t="str">
        <f>VLOOKUP(B:B,'[2]Hakata Island Team'!$E:$G,3,)</f>
        <v>Rupak Chundayil Kalam</v>
      </c>
      <c r="E203" s="6" t="str">
        <f>VLOOKUP(B:B,'[2]Hakata Island Team'!$E:$H,4,)</f>
        <v>SPPL Fleet - B</v>
      </c>
      <c r="F203" s="6" t="s">
        <v>1581</v>
      </c>
      <c r="G203" s="6" t="s">
        <v>1433</v>
      </c>
      <c r="H203" s="7">
        <v>46093</v>
      </c>
      <c r="I203" s="6" t="s">
        <v>1631</v>
      </c>
      <c r="J203" s="6" t="s">
        <v>45</v>
      </c>
      <c r="K203" s="6" t="s">
        <v>45</v>
      </c>
      <c r="L203" s="10">
        <v>29</v>
      </c>
      <c r="M203" s="10">
        <v>3</v>
      </c>
      <c r="N203" s="6" t="s">
        <v>1693</v>
      </c>
      <c r="O203" s="6" t="s">
        <v>1036</v>
      </c>
      <c r="P203" s="27" t="s">
        <v>42</v>
      </c>
      <c r="Q203" s="7">
        <v>45211</v>
      </c>
      <c r="R203" s="7"/>
      <c r="S203" s="6" t="s">
        <v>45</v>
      </c>
      <c r="T203" s="7"/>
      <c r="U203" s="34"/>
    </row>
    <row r="204" spans="1:21" x14ac:dyDescent="0.35">
      <c r="A204" s="5" t="s">
        <v>1464</v>
      </c>
      <c r="B204" s="6" t="s">
        <v>113</v>
      </c>
      <c r="C204" s="6" t="s">
        <v>826</v>
      </c>
      <c r="D204" s="6" t="str">
        <f>VLOOKUP(B:B,'[2]Hakata Island Team'!$E:$G,3,)</f>
        <v>Rupak Chundayil Kalam</v>
      </c>
      <c r="E204" s="6" t="str">
        <f>VLOOKUP(B:B,'[2]Hakata Island Team'!$E:$H,4,)</f>
        <v>SPPL Fleet - B</v>
      </c>
      <c r="F204" s="6" t="s">
        <v>1542</v>
      </c>
      <c r="G204" s="6" t="s">
        <v>1035</v>
      </c>
      <c r="H204" s="7">
        <v>45443</v>
      </c>
      <c r="I204" s="6" t="s">
        <v>1310</v>
      </c>
      <c r="J204" s="6" t="s">
        <v>45</v>
      </c>
      <c r="K204" s="6" t="s">
        <v>45</v>
      </c>
      <c r="L204" s="10">
        <v>12</v>
      </c>
      <c r="M204" s="10">
        <v>3</v>
      </c>
      <c r="N204" s="6" t="s">
        <v>1694</v>
      </c>
      <c r="O204" s="6" t="s">
        <v>1125</v>
      </c>
      <c r="P204" s="27" t="s">
        <v>42</v>
      </c>
      <c r="Q204" s="7">
        <v>45077</v>
      </c>
      <c r="R204" s="7"/>
      <c r="S204" s="6" t="s">
        <v>45</v>
      </c>
      <c r="T204" s="7"/>
      <c r="U204" s="34">
        <v>45446</v>
      </c>
    </row>
    <row r="205" spans="1:21" x14ac:dyDescent="0.35">
      <c r="A205" s="5" t="s">
        <v>1297</v>
      </c>
      <c r="B205" s="6" t="s">
        <v>113</v>
      </c>
      <c r="C205" s="6" t="s">
        <v>826</v>
      </c>
      <c r="D205" s="6" t="str">
        <f>VLOOKUP(B:B,'[2]Hakata Island Team'!$E:$G,3,)</f>
        <v>Rupak Chundayil Kalam</v>
      </c>
      <c r="E205" s="6" t="str">
        <f>VLOOKUP(B:B,'[2]Hakata Island Team'!$E:$H,4,)</f>
        <v>SPPL Fleet - B</v>
      </c>
      <c r="F205" s="6" t="s">
        <v>1542</v>
      </c>
      <c r="G205" s="6" t="s">
        <v>1035</v>
      </c>
      <c r="H205" s="7">
        <v>45465</v>
      </c>
      <c r="I205" s="6" t="s">
        <v>1298</v>
      </c>
      <c r="J205" s="6" t="s">
        <v>45</v>
      </c>
      <c r="K205" s="6" t="s">
        <v>45</v>
      </c>
      <c r="L205" s="10">
        <v>12</v>
      </c>
      <c r="M205" s="10">
        <v>3</v>
      </c>
      <c r="N205" s="6" t="s">
        <v>1695</v>
      </c>
      <c r="O205" s="6" t="s">
        <v>1125</v>
      </c>
      <c r="P205" s="27" t="s">
        <v>42</v>
      </c>
      <c r="Q205" s="7">
        <v>45099</v>
      </c>
      <c r="R205" s="7"/>
      <c r="S205" s="6" t="s">
        <v>45</v>
      </c>
      <c r="T205" s="7"/>
      <c r="U205" s="34"/>
    </row>
    <row r="206" spans="1:21" x14ac:dyDescent="0.35">
      <c r="A206" s="5" t="s">
        <v>1297</v>
      </c>
      <c r="B206" s="6" t="s">
        <v>113</v>
      </c>
      <c r="C206" s="6" t="s">
        <v>826</v>
      </c>
      <c r="D206" s="6" t="str">
        <f>VLOOKUP(B:B,'[2]Hakata Island Team'!$E:$G,3,)</f>
        <v>Rupak Chundayil Kalam</v>
      </c>
      <c r="E206" s="6" t="str">
        <f>VLOOKUP(B:B,'[2]Hakata Island Team'!$E:$H,4,)</f>
        <v>SPPL Fleet - B</v>
      </c>
      <c r="F206" s="6" t="s">
        <v>1534</v>
      </c>
      <c r="G206" s="6" t="s">
        <v>1535</v>
      </c>
      <c r="H206" s="7">
        <v>45983</v>
      </c>
      <c r="I206" s="6" t="s">
        <v>1298</v>
      </c>
      <c r="J206" s="6" t="s">
        <v>45</v>
      </c>
      <c r="K206" s="6" t="s">
        <v>45</v>
      </c>
      <c r="L206" s="10">
        <v>29</v>
      </c>
      <c r="M206" s="10">
        <v>0</v>
      </c>
      <c r="N206" s="6" t="s">
        <v>1537</v>
      </c>
      <c r="O206" s="6" t="s">
        <v>1125</v>
      </c>
      <c r="P206" s="27" t="s">
        <v>42</v>
      </c>
      <c r="Q206" s="7">
        <v>45099</v>
      </c>
      <c r="R206" s="7"/>
      <c r="S206" s="6" t="s">
        <v>45</v>
      </c>
      <c r="T206" s="7"/>
      <c r="U206" s="34"/>
    </row>
    <row r="207" spans="1:21" x14ac:dyDescent="0.35">
      <c r="A207" s="5" t="s">
        <v>1297</v>
      </c>
      <c r="B207" s="6" t="s">
        <v>113</v>
      </c>
      <c r="C207" s="6" t="s">
        <v>826</v>
      </c>
      <c r="D207" s="6" t="str">
        <f>VLOOKUP(B:B,'[2]Hakata Island Team'!$E:$G,3,)</f>
        <v>Rupak Chundayil Kalam</v>
      </c>
      <c r="E207" s="6" t="str">
        <f>VLOOKUP(B:B,'[2]Hakata Island Team'!$E:$H,4,)</f>
        <v>SPPL Fleet - B</v>
      </c>
      <c r="F207" s="6" t="s">
        <v>1538</v>
      </c>
      <c r="G207" s="6" t="s">
        <v>1535</v>
      </c>
      <c r="H207" s="7">
        <v>45983</v>
      </c>
      <c r="I207" s="6" t="s">
        <v>1298</v>
      </c>
      <c r="J207" s="6" t="s">
        <v>45</v>
      </c>
      <c r="K207" s="6" t="s">
        <v>45</v>
      </c>
      <c r="L207" s="10">
        <v>29</v>
      </c>
      <c r="M207" s="10">
        <v>0</v>
      </c>
      <c r="N207" s="6" t="s">
        <v>1537</v>
      </c>
      <c r="O207" s="6" t="s">
        <v>1125</v>
      </c>
      <c r="P207" s="27" t="s">
        <v>42</v>
      </c>
      <c r="Q207" s="7">
        <v>45099</v>
      </c>
      <c r="R207" s="7"/>
      <c r="S207" s="6" t="s">
        <v>45</v>
      </c>
      <c r="T207" s="7"/>
      <c r="U207" s="34"/>
    </row>
    <row r="208" spans="1:21" x14ac:dyDescent="0.35">
      <c r="A208" s="5" t="s">
        <v>1573</v>
      </c>
      <c r="B208" s="6" t="s">
        <v>118</v>
      </c>
      <c r="C208" s="6" t="s">
        <v>1048</v>
      </c>
      <c r="D208" s="6" t="str">
        <f>VLOOKUP(B:B,'[2]Hakata Island Team'!$E:$G,3,)</f>
        <v>Senthilvelan</v>
      </c>
      <c r="E208" s="6" t="str">
        <f>VLOOKUP(B:B,'[2]Hakata Island Team'!$E:$H,4,)</f>
        <v xml:space="preserve">SPPL Fleet - A </v>
      </c>
      <c r="F208" s="6" t="s">
        <v>1574</v>
      </c>
      <c r="G208" s="6" t="s">
        <v>1184</v>
      </c>
      <c r="H208" s="7"/>
      <c r="I208" s="6" t="s">
        <v>1026</v>
      </c>
      <c r="J208" s="6" t="s">
        <v>45</v>
      </c>
      <c r="K208" s="6" t="s">
        <v>45</v>
      </c>
      <c r="L208" s="10">
        <v>12</v>
      </c>
      <c r="M208" s="10">
        <v>0</v>
      </c>
      <c r="N208" s="6" t="s">
        <v>1537</v>
      </c>
      <c r="O208" s="6" t="s">
        <v>1050</v>
      </c>
      <c r="P208" s="27" t="s">
        <v>42</v>
      </c>
      <c r="Q208" s="7"/>
      <c r="R208" s="7"/>
      <c r="S208" s="6" t="s">
        <v>45</v>
      </c>
      <c r="T208" s="7"/>
      <c r="U208" s="34"/>
    </row>
    <row r="209" spans="1:21" x14ac:dyDescent="0.35">
      <c r="A209" s="5" t="s">
        <v>1573</v>
      </c>
      <c r="B209" s="6" t="s">
        <v>118</v>
      </c>
      <c r="C209" s="6" t="s">
        <v>1048</v>
      </c>
      <c r="D209" s="6" t="str">
        <f>VLOOKUP(B:B,'[2]Hakata Island Team'!$E:$G,3,)</f>
        <v>Senthilvelan</v>
      </c>
      <c r="E209" s="6" t="str">
        <f>VLOOKUP(B:B,'[2]Hakata Island Team'!$E:$H,4,)</f>
        <v xml:space="preserve">SPPL Fleet - A </v>
      </c>
      <c r="F209" s="6" t="s">
        <v>1575</v>
      </c>
      <c r="G209" s="6" t="s">
        <v>1184</v>
      </c>
      <c r="H209" s="7"/>
      <c r="I209" s="6" t="s">
        <v>1026</v>
      </c>
      <c r="J209" s="6" t="s">
        <v>45</v>
      </c>
      <c r="K209" s="6" t="s">
        <v>45</v>
      </c>
      <c r="L209" s="10">
        <v>12</v>
      </c>
      <c r="M209" s="10">
        <v>0</v>
      </c>
      <c r="N209" s="6" t="s">
        <v>1537</v>
      </c>
      <c r="O209" s="6" t="s">
        <v>1050</v>
      </c>
      <c r="P209" s="27" t="s">
        <v>42</v>
      </c>
      <c r="Q209" s="7"/>
      <c r="R209" s="7"/>
      <c r="S209" s="6" t="s">
        <v>45</v>
      </c>
      <c r="T209" s="7"/>
      <c r="U209" s="34"/>
    </row>
    <row r="210" spans="1:21" x14ac:dyDescent="0.35">
      <c r="A210" s="5" t="s">
        <v>1573</v>
      </c>
      <c r="B210" s="6" t="s">
        <v>118</v>
      </c>
      <c r="C210" s="6" t="s">
        <v>1048</v>
      </c>
      <c r="D210" s="6" t="str">
        <f>VLOOKUP(B:B,'[2]Hakata Island Team'!$E:$G,3,)</f>
        <v>Senthilvelan</v>
      </c>
      <c r="E210" s="6" t="str">
        <f>VLOOKUP(B:B,'[2]Hakata Island Team'!$E:$H,4,)</f>
        <v xml:space="preserve">SPPL Fleet - A </v>
      </c>
      <c r="F210" s="6" t="s">
        <v>1576</v>
      </c>
      <c r="G210" s="6" t="s">
        <v>1184</v>
      </c>
      <c r="H210" s="7"/>
      <c r="I210" s="6" t="s">
        <v>1026</v>
      </c>
      <c r="J210" s="6" t="s">
        <v>45</v>
      </c>
      <c r="K210" s="6" t="s">
        <v>45</v>
      </c>
      <c r="L210" s="10">
        <v>12</v>
      </c>
      <c r="M210" s="10">
        <v>0</v>
      </c>
      <c r="N210" s="6" t="s">
        <v>1537</v>
      </c>
      <c r="O210" s="6" t="s">
        <v>1050</v>
      </c>
      <c r="P210" s="27" t="s">
        <v>42</v>
      </c>
      <c r="Q210" s="7"/>
      <c r="R210" s="7"/>
      <c r="S210" s="6" t="s">
        <v>45</v>
      </c>
      <c r="T210" s="7"/>
      <c r="U210" s="34"/>
    </row>
    <row r="211" spans="1:21" x14ac:dyDescent="0.35">
      <c r="A211" s="5" t="s">
        <v>1573</v>
      </c>
      <c r="B211" s="6" t="s">
        <v>118</v>
      </c>
      <c r="C211" s="6" t="s">
        <v>1048</v>
      </c>
      <c r="D211" s="6" t="str">
        <f>VLOOKUP(B:B,'[2]Hakata Island Team'!$E:$G,3,)</f>
        <v>Senthilvelan</v>
      </c>
      <c r="E211" s="6" t="str">
        <f>VLOOKUP(B:B,'[2]Hakata Island Team'!$E:$H,4,)</f>
        <v xml:space="preserve">SPPL Fleet - A </v>
      </c>
      <c r="F211" s="6" t="s">
        <v>1577</v>
      </c>
      <c r="G211" s="6" t="s">
        <v>1184</v>
      </c>
      <c r="H211" s="7"/>
      <c r="I211" s="6" t="s">
        <v>1026</v>
      </c>
      <c r="J211" s="6" t="s">
        <v>45</v>
      </c>
      <c r="K211" s="6" t="s">
        <v>45</v>
      </c>
      <c r="L211" s="10">
        <v>12</v>
      </c>
      <c r="M211" s="10">
        <v>0</v>
      </c>
      <c r="N211" s="6" t="s">
        <v>1537</v>
      </c>
      <c r="O211" s="6" t="s">
        <v>1050</v>
      </c>
      <c r="P211" s="27" t="s">
        <v>42</v>
      </c>
      <c r="Q211" s="7"/>
      <c r="R211" s="7"/>
      <c r="S211" s="6" t="s">
        <v>45</v>
      </c>
      <c r="T211" s="7"/>
      <c r="U211" s="34"/>
    </row>
    <row r="212" spans="1:21" x14ac:dyDescent="0.35">
      <c r="A212" s="5" t="s">
        <v>1573</v>
      </c>
      <c r="B212" s="6" t="s">
        <v>118</v>
      </c>
      <c r="C212" s="6" t="s">
        <v>1048</v>
      </c>
      <c r="D212" s="6" t="str">
        <f>VLOOKUP(B:B,'[2]Hakata Island Team'!$E:$G,3,)</f>
        <v>Senthilvelan</v>
      </c>
      <c r="E212" s="6" t="str">
        <f>VLOOKUP(B:B,'[2]Hakata Island Team'!$E:$H,4,)</f>
        <v xml:space="preserve">SPPL Fleet - A </v>
      </c>
      <c r="F212" s="6" t="s">
        <v>1578</v>
      </c>
      <c r="G212" s="6" t="s">
        <v>1184</v>
      </c>
      <c r="H212" s="7"/>
      <c r="I212" s="6" t="s">
        <v>1026</v>
      </c>
      <c r="J212" s="6" t="s">
        <v>45</v>
      </c>
      <c r="K212" s="6" t="s">
        <v>45</v>
      </c>
      <c r="L212" s="10">
        <v>12</v>
      </c>
      <c r="M212" s="10">
        <v>0</v>
      </c>
      <c r="N212" s="6" t="s">
        <v>1537</v>
      </c>
      <c r="O212" s="6" t="s">
        <v>1050</v>
      </c>
      <c r="P212" s="27" t="s">
        <v>42</v>
      </c>
      <c r="Q212" s="7"/>
      <c r="R212" s="7"/>
      <c r="S212" s="6" t="s">
        <v>45</v>
      </c>
      <c r="T212" s="7"/>
      <c r="U212" s="34"/>
    </row>
    <row r="213" spans="1:21" x14ac:dyDescent="0.35">
      <c r="A213" s="5" t="s">
        <v>1186</v>
      </c>
      <c r="B213" s="6" t="s">
        <v>544</v>
      </c>
      <c r="C213" s="6" t="s">
        <v>1059</v>
      </c>
      <c r="D213" s="6" t="str">
        <f>VLOOKUP(B:B,'[2]Hakata Island Team'!$E:$G,3,)</f>
        <v xml:space="preserve">Sujith Sundaran </v>
      </c>
      <c r="E213" s="6" t="str">
        <f>VLOOKUP(B:B,'[2]Hakata Island Team'!$E:$H,4,)</f>
        <v>SPPL Fleet - B</v>
      </c>
      <c r="F213" s="6" t="s">
        <v>1574</v>
      </c>
      <c r="G213" s="6" t="s">
        <v>1184</v>
      </c>
      <c r="H213" s="7">
        <v>45759</v>
      </c>
      <c r="I213" s="6" t="s">
        <v>1187</v>
      </c>
      <c r="J213" s="6" t="s">
        <v>45</v>
      </c>
      <c r="K213" s="6" t="s">
        <v>45</v>
      </c>
      <c r="L213" s="10">
        <v>12</v>
      </c>
      <c r="M213" s="10">
        <v>0</v>
      </c>
      <c r="N213" s="6" t="s">
        <v>1537</v>
      </c>
      <c r="O213" s="6" t="s">
        <v>1036</v>
      </c>
      <c r="P213" s="27" t="s">
        <v>42</v>
      </c>
      <c r="Q213" s="7">
        <v>45394</v>
      </c>
      <c r="R213" s="7"/>
      <c r="S213" s="6" t="s">
        <v>45</v>
      </c>
      <c r="T213" s="7"/>
      <c r="U213" s="34"/>
    </row>
    <row r="214" spans="1:21" x14ac:dyDescent="0.35">
      <c r="A214" s="5" t="s">
        <v>1186</v>
      </c>
      <c r="B214" s="6" t="s">
        <v>544</v>
      </c>
      <c r="C214" s="6" t="s">
        <v>1059</v>
      </c>
      <c r="D214" s="6" t="str">
        <f>VLOOKUP(B:B,'[2]Hakata Island Team'!$E:$G,3,)</f>
        <v xml:space="preserve">Sujith Sundaran </v>
      </c>
      <c r="E214" s="6" t="str">
        <f>VLOOKUP(B:B,'[2]Hakata Island Team'!$E:$H,4,)</f>
        <v>SPPL Fleet - B</v>
      </c>
      <c r="F214" s="6" t="s">
        <v>1575</v>
      </c>
      <c r="G214" s="6" t="s">
        <v>1184</v>
      </c>
      <c r="H214" s="7">
        <v>45759</v>
      </c>
      <c r="I214" s="6" t="s">
        <v>1187</v>
      </c>
      <c r="J214" s="6" t="s">
        <v>45</v>
      </c>
      <c r="K214" s="6" t="s">
        <v>45</v>
      </c>
      <c r="L214" s="10">
        <v>12</v>
      </c>
      <c r="M214" s="10">
        <v>0</v>
      </c>
      <c r="N214" s="6" t="s">
        <v>1537</v>
      </c>
      <c r="O214" s="6" t="s">
        <v>1036</v>
      </c>
      <c r="P214" s="27" t="s">
        <v>42</v>
      </c>
      <c r="Q214" s="7">
        <v>45394</v>
      </c>
      <c r="R214" s="7"/>
      <c r="S214" s="6" t="s">
        <v>45</v>
      </c>
      <c r="T214" s="7"/>
      <c r="U214" s="34"/>
    </row>
    <row r="215" spans="1:21" x14ac:dyDescent="0.35">
      <c r="A215" s="5" t="s">
        <v>1186</v>
      </c>
      <c r="B215" s="6" t="s">
        <v>544</v>
      </c>
      <c r="C215" s="6" t="s">
        <v>1059</v>
      </c>
      <c r="D215" s="6" t="str">
        <f>VLOOKUP(B:B,'[2]Hakata Island Team'!$E:$G,3,)</f>
        <v xml:space="preserve">Sujith Sundaran </v>
      </c>
      <c r="E215" s="6" t="str">
        <f>VLOOKUP(B:B,'[2]Hakata Island Team'!$E:$H,4,)</f>
        <v>SPPL Fleet - B</v>
      </c>
      <c r="F215" s="6" t="s">
        <v>1576</v>
      </c>
      <c r="G215" s="6" t="s">
        <v>1184</v>
      </c>
      <c r="H215" s="7">
        <v>45759</v>
      </c>
      <c r="I215" s="6" t="s">
        <v>1187</v>
      </c>
      <c r="J215" s="6" t="s">
        <v>45</v>
      </c>
      <c r="K215" s="6" t="s">
        <v>45</v>
      </c>
      <c r="L215" s="10">
        <v>12</v>
      </c>
      <c r="M215" s="10">
        <v>0</v>
      </c>
      <c r="N215" s="6" t="s">
        <v>1537</v>
      </c>
      <c r="O215" s="6" t="s">
        <v>1036</v>
      </c>
      <c r="P215" s="27" t="s">
        <v>42</v>
      </c>
      <c r="Q215" s="7">
        <v>45394</v>
      </c>
      <c r="R215" s="7"/>
      <c r="S215" s="6" t="s">
        <v>45</v>
      </c>
      <c r="T215" s="7"/>
      <c r="U215" s="34"/>
    </row>
    <row r="216" spans="1:21" x14ac:dyDescent="0.35">
      <c r="A216" s="5" t="s">
        <v>1186</v>
      </c>
      <c r="B216" s="6" t="s">
        <v>544</v>
      </c>
      <c r="C216" s="6" t="s">
        <v>1059</v>
      </c>
      <c r="D216" s="6" t="str">
        <f>VLOOKUP(B:B,'[2]Hakata Island Team'!$E:$G,3,)</f>
        <v xml:space="preserve">Sujith Sundaran </v>
      </c>
      <c r="E216" s="6" t="str">
        <f>VLOOKUP(B:B,'[2]Hakata Island Team'!$E:$H,4,)</f>
        <v>SPPL Fleet - B</v>
      </c>
      <c r="F216" s="6" t="s">
        <v>1577</v>
      </c>
      <c r="G216" s="6" t="s">
        <v>1184</v>
      </c>
      <c r="H216" s="7">
        <v>45759</v>
      </c>
      <c r="I216" s="6" t="s">
        <v>1187</v>
      </c>
      <c r="J216" s="6" t="s">
        <v>45</v>
      </c>
      <c r="K216" s="6" t="s">
        <v>45</v>
      </c>
      <c r="L216" s="10">
        <v>12</v>
      </c>
      <c r="M216" s="10">
        <v>0</v>
      </c>
      <c r="N216" s="6" t="s">
        <v>1537</v>
      </c>
      <c r="O216" s="6" t="s">
        <v>1036</v>
      </c>
      <c r="P216" s="27" t="s">
        <v>42</v>
      </c>
      <c r="Q216" s="7">
        <v>45394</v>
      </c>
      <c r="R216" s="7"/>
      <c r="S216" s="6" t="s">
        <v>45</v>
      </c>
      <c r="T216" s="7"/>
      <c r="U216" s="34"/>
    </row>
    <row r="217" spans="1:21" x14ac:dyDescent="0.35">
      <c r="A217" s="5" t="s">
        <v>1186</v>
      </c>
      <c r="B217" s="6" t="s">
        <v>544</v>
      </c>
      <c r="C217" s="6" t="s">
        <v>1059</v>
      </c>
      <c r="D217" s="6" t="str">
        <f>VLOOKUP(B:B,'[2]Hakata Island Team'!$E:$G,3,)</f>
        <v xml:space="preserve">Sujith Sundaran </v>
      </c>
      <c r="E217" s="6" t="str">
        <f>VLOOKUP(B:B,'[2]Hakata Island Team'!$E:$H,4,)</f>
        <v>SPPL Fleet - B</v>
      </c>
      <c r="F217" s="6" t="s">
        <v>1578</v>
      </c>
      <c r="G217" s="6" t="s">
        <v>1184</v>
      </c>
      <c r="H217" s="7">
        <v>45759</v>
      </c>
      <c r="I217" s="6" t="s">
        <v>1187</v>
      </c>
      <c r="J217" s="6" t="s">
        <v>45</v>
      </c>
      <c r="K217" s="6" t="s">
        <v>45</v>
      </c>
      <c r="L217" s="10">
        <v>12</v>
      </c>
      <c r="M217" s="10">
        <v>0</v>
      </c>
      <c r="N217" s="6" t="s">
        <v>1537</v>
      </c>
      <c r="O217" s="6" t="s">
        <v>1036</v>
      </c>
      <c r="P217" s="27" t="s">
        <v>42</v>
      </c>
      <c r="Q217" s="7">
        <v>45394</v>
      </c>
      <c r="R217" s="7"/>
      <c r="S217" s="6" t="s">
        <v>45</v>
      </c>
      <c r="T217" s="7"/>
      <c r="U217" s="34"/>
    </row>
    <row r="218" spans="1:21" x14ac:dyDescent="0.35">
      <c r="A218" s="5" t="s">
        <v>1573</v>
      </c>
      <c r="B218" s="6" t="s">
        <v>544</v>
      </c>
      <c r="C218" s="6" t="s">
        <v>1059</v>
      </c>
      <c r="D218" s="6" t="str">
        <f>VLOOKUP(B:B,'[2]Hakata Island Team'!$E:$G,3,)</f>
        <v xml:space="preserve">Sujith Sundaran </v>
      </c>
      <c r="E218" s="6" t="str">
        <f>VLOOKUP(B:B,'[2]Hakata Island Team'!$E:$H,4,)</f>
        <v>SPPL Fleet - B</v>
      </c>
      <c r="F218" s="6" t="s">
        <v>1574</v>
      </c>
      <c r="G218" s="6" t="s">
        <v>1184</v>
      </c>
      <c r="H218" s="7">
        <v>45762</v>
      </c>
      <c r="I218" s="6" t="s">
        <v>1026</v>
      </c>
      <c r="J218" s="6" t="s">
        <v>45</v>
      </c>
      <c r="K218" s="6" t="s">
        <v>45</v>
      </c>
      <c r="L218" s="10">
        <v>12</v>
      </c>
      <c r="M218" s="10">
        <v>0</v>
      </c>
      <c r="N218" s="6" t="s">
        <v>1537</v>
      </c>
      <c r="O218" s="6" t="s">
        <v>1050</v>
      </c>
      <c r="P218" s="27" t="s">
        <v>42</v>
      </c>
      <c r="Q218" s="7">
        <v>45397</v>
      </c>
      <c r="R218" s="7"/>
      <c r="S218" s="6" t="s">
        <v>45</v>
      </c>
      <c r="T218" s="7"/>
      <c r="U218" s="34"/>
    </row>
    <row r="219" spans="1:21" x14ac:dyDescent="0.35">
      <c r="A219" s="5" t="s">
        <v>1573</v>
      </c>
      <c r="B219" s="6" t="s">
        <v>544</v>
      </c>
      <c r="C219" s="6" t="s">
        <v>1059</v>
      </c>
      <c r="D219" s="6" t="str">
        <f>VLOOKUP(B:B,'[2]Hakata Island Team'!$E:$G,3,)</f>
        <v xml:space="preserve">Sujith Sundaran </v>
      </c>
      <c r="E219" s="6" t="str">
        <f>VLOOKUP(B:B,'[2]Hakata Island Team'!$E:$H,4,)</f>
        <v>SPPL Fleet - B</v>
      </c>
      <c r="F219" s="6" t="s">
        <v>1575</v>
      </c>
      <c r="G219" s="6" t="s">
        <v>1184</v>
      </c>
      <c r="H219" s="7">
        <v>45762</v>
      </c>
      <c r="I219" s="6" t="s">
        <v>1026</v>
      </c>
      <c r="J219" s="6" t="s">
        <v>45</v>
      </c>
      <c r="K219" s="6" t="s">
        <v>45</v>
      </c>
      <c r="L219" s="10">
        <v>12</v>
      </c>
      <c r="M219" s="10">
        <v>0</v>
      </c>
      <c r="N219" s="6" t="s">
        <v>1537</v>
      </c>
      <c r="O219" s="6" t="s">
        <v>1050</v>
      </c>
      <c r="P219" s="27" t="s">
        <v>42</v>
      </c>
      <c r="Q219" s="7">
        <v>45397</v>
      </c>
      <c r="R219" s="7"/>
      <c r="S219" s="6" t="s">
        <v>45</v>
      </c>
      <c r="T219" s="7"/>
      <c r="U219" s="34"/>
    </row>
    <row r="220" spans="1:21" x14ac:dyDescent="0.35">
      <c r="A220" s="5" t="s">
        <v>1573</v>
      </c>
      <c r="B220" s="6" t="s">
        <v>544</v>
      </c>
      <c r="C220" s="6" t="s">
        <v>1059</v>
      </c>
      <c r="D220" s="6" t="str">
        <f>VLOOKUP(B:B,'[2]Hakata Island Team'!$E:$G,3,)</f>
        <v xml:space="preserve">Sujith Sundaran </v>
      </c>
      <c r="E220" s="6" t="str">
        <f>VLOOKUP(B:B,'[2]Hakata Island Team'!$E:$H,4,)</f>
        <v>SPPL Fleet - B</v>
      </c>
      <c r="F220" s="6" t="s">
        <v>1576</v>
      </c>
      <c r="G220" s="6" t="s">
        <v>1184</v>
      </c>
      <c r="H220" s="7">
        <v>45762</v>
      </c>
      <c r="I220" s="6" t="s">
        <v>1026</v>
      </c>
      <c r="J220" s="6" t="s">
        <v>45</v>
      </c>
      <c r="K220" s="6" t="s">
        <v>45</v>
      </c>
      <c r="L220" s="10">
        <v>12</v>
      </c>
      <c r="M220" s="10">
        <v>0</v>
      </c>
      <c r="N220" s="6" t="s">
        <v>1537</v>
      </c>
      <c r="O220" s="6" t="s">
        <v>1050</v>
      </c>
      <c r="P220" s="27" t="s">
        <v>42</v>
      </c>
      <c r="Q220" s="7">
        <v>45397</v>
      </c>
      <c r="R220" s="7"/>
      <c r="S220" s="6" t="s">
        <v>45</v>
      </c>
      <c r="T220" s="7"/>
      <c r="U220" s="34"/>
    </row>
    <row r="221" spans="1:21" x14ac:dyDescent="0.35">
      <c r="A221" s="5" t="s">
        <v>1573</v>
      </c>
      <c r="B221" s="6" t="s">
        <v>544</v>
      </c>
      <c r="C221" s="6" t="s">
        <v>1059</v>
      </c>
      <c r="D221" s="6" t="str">
        <f>VLOOKUP(B:B,'[2]Hakata Island Team'!$E:$G,3,)</f>
        <v xml:space="preserve">Sujith Sundaran </v>
      </c>
      <c r="E221" s="6" t="str">
        <f>VLOOKUP(B:B,'[2]Hakata Island Team'!$E:$H,4,)</f>
        <v>SPPL Fleet - B</v>
      </c>
      <c r="F221" s="6" t="s">
        <v>1577</v>
      </c>
      <c r="G221" s="6" t="s">
        <v>1184</v>
      </c>
      <c r="H221" s="7">
        <v>45762</v>
      </c>
      <c r="I221" s="6" t="s">
        <v>1026</v>
      </c>
      <c r="J221" s="6" t="s">
        <v>45</v>
      </c>
      <c r="K221" s="6" t="s">
        <v>45</v>
      </c>
      <c r="L221" s="10">
        <v>12</v>
      </c>
      <c r="M221" s="10">
        <v>0</v>
      </c>
      <c r="N221" s="6" t="s">
        <v>1537</v>
      </c>
      <c r="O221" s="6" t="s">
        <v>1050</v>
      </c>
      <c r="P221" s="27" t="s">
        <v>42</v>
      </c>
      <c r="Q221" s="7">
        <v>45397</v>
      </c>
      <c r="R221" s="7"/>
      <c r="S221" s="6" t="s">
        <v>45</v>
      </c>
      <c r="T221" s="7"/>
      <c r="U221" s="34"/>
    </row>
    <row r="222" spans="1:21" x14ac:dyDescent="0.35">
      <c r="A222" s="5" t="s">
        <v>1573</v>
      </c>
      <c r="B222" s="6" t="s">
        <v>544</v>
      </c>
      <c r="C222" s="6" t="s">
        <v>1059</v>
      </c>
      <c r="D222" s="6" t="str">
        <f>VLOOKUP(B:B,'[2]Hakata Island Team'!$E:$G,3,)</f>
        <v xml:space="preserve">Sujith Sundaran </v>
      </c>
      <c r="E222" s="6" t="str">
        <f>VLOOKUP(B:B,'[2]Hakata Island Team'!$E:$H,4,)</f>
        <v>SPPL Fleet - B</v>
      </c>
      <c r="F222" s="6" t="s">
        <v>1578</v>
      </c>
      <c r="G222" s="6" t="s">
        <v>1184</v>
      </c>
      <c r="H222" s="7">
        <v>45762</v>
      </c>
      <c r="I222" s="6" t="s">
        <v>1026</v>
      </c>
      <c r="J222" s="6" t="s">
        <v>45</v>
      </c>
      <c r="K222" s="6" t="s">
        <v>45</v>
      </c>
      <c r="L222" s="10">
        <v>12</v>
      </c>
      <c r="M222" s="10">
        <v>0</v>
      </c>
      <c r="N222" s="6" t="s">
        <v>1537</v>
      </c>
      <c r="O222" s="6" t="s">
        <v>1050</v>
      </c>
      <c r="P222" s="27" t="s">
        <v>42</v>
      </c>
      <c r="Q222" s="7">
        <v>45397</v>
      </c>
      <c r="R222" s="7"/>
      <c r="S222" s="6" t="s">
        <v>45</v>
      </c>
      <c r="T222" s="7"/>
      <c r="U222" s="34"/>
    </row>
    <row r="223" spans="1:21" x14ac:dyDescent="0.35">
      <c r="A223" s="5" t="s">
        <v>1550</v>
      </c>
      <c r="B223" s="6" t="s">
        <v>544</v>
      </c>
      <c r="C223" s="6" t="s">
        <v>1059</v>
      </c>
      <c r="D223" s="6" t="str">
        <f>VLOOKUP(B:B,'[2]Hakata Island Team'!$E:$G,3,)</f>
        <v xml:space="preserve">Sujith Sundaran </v>
      </c>
      <c r="E223" s="6" t="str">
        <f>VLOOKUP(B:B,'[2]Hakata Island Team'!$E:$H,4,)</f>
        <v>SPPL Fleet - B</v>
      </c>
      <c r="F223" s="6" t="s">
        <v>1586</v>
      </c>
      <c r="G223" s="6" t="s">
        <v>1035</v>
      </c>
      <c r="H223" s="7">
        <v>46131</v>
      </c>
      <c r="I223" s="6" t="s">
        <v>1552</v>
      </c>
      <c r="J223" s="6" t="s">
        <v>45</v>
      </c>
      <c r="K223" s="6" t="s">
        <v>45</v>
      </c>
      <c r="L223" s="10">
        <v>12</v>
      </c>
      <c r="M223" s="10">
        <v>0</v>
      </c>
      <c r="N223" s="6" t="s">
        <v>1537</v>
      </c>
      <c r="O223" s="6" t="s">
        <v>1036</v>
      </c>
      <c r="P223" s="27" t="s">
        <v>42</v>
      </c>
      <c r="Q223" s="7">
        <v>45766</v>
      </c>
      <c r="R223" s="7"/>
      <c r="S223" s="6" t="s">
        <v>45</v>
      </c>
      <c r="T223" s="7"/>
      <c r="U223" s="34"/>
    </row>
    <row r="224" spans="1:21" x14ac:dyDescent="0.35">
      <c r="A224" s="5" t="s">
        <v>1360</v>
      </c>
      <c r="B224" s="6" t="s">
        <v>718</v>
      </c>
      <c r="C224" s="6" t="s">
        <v>719</v>
      </c>
      <c r="D224" s="6" t="str">
        <f>VLOOKUP(B:B,'[2]Hakata Island Team'!$E:$G,3,)</f>
        <v xml:space="preserve">Sujith Sundaran </v>
      </c>
      <c r="E224" s="6" t="str">
        <f>VLOOKUP(B:B,'[2]Hakata Island Team'!$E:$H,4,)</f>
        <v>SPPL Fleet - B</v>
      </c>
      <c r="F224" s="6" t="s">
        <v>1542</v>
      </c>
      <c r="G224" s="6" t="s">
        <v>1035</v>
      </c>
      <c r="H224" s="7">
        <v>46094</v>
      </c>
      <c r="I224" s="6" t="s">
        <v>1361</v>
      </c>
      <c r="J224" s="6" t="s">
        <v>45</v>
      </c>
      <c r="K224" s="6" t="s">
        <v>45</v>
      </c>
      <c r="L224" s="10">
        <v>12</v>
      </c>
      <c r="M224" s="10">
        <v>3</v>
      </c>
      <c r="N224" s="6" t="s">
        <v>1696</v>
      </c>
      <c r="O224" s="6" t="s">
        <v>1036</v>
      </c>
      <c r="P224" s="27" t="s">
        <v>42</v>
      </c>
      <c r="Q224" s="7">
        <v>45729</v>
      </c>
      <c r="R224" s="7"/>
      <c r="S224" s="6" t="s">
        <v>45</v>
      </c>
      <c r="T224" s="7"/>
      <c r="U224" s="34"/>
    </row>
    <row r="225" spans="1:21" x14ac:dyDescent="0.35">
      <c r="A225" s="5" t="s">
        <v>1464</v>
      </c>
      <c r="B225" s="6" t="s">
        <v>718</v>
      </c>
      <c r="C225" s="6" t="s">
        <v>719</v>
      </c>
      <c r="D225" s="6" t="str">
        <f>VLOOKUP(B:B,'[2]Hakata Island Team'!$E:$G,3,)</f>
        <v xml:space="preserve">Sujith Sundaran </v>
      </c>
      <c r="E225" s="6" t="str">
        <f>VLOOKUP(B:B,'[2]Hakata Island Team'!$E:$H,4,)</f>
        <v>SPPL Fleet - B</v>
      </c>
      <c r="F225" s="6" t="s">
        <v>1542</v>
      </c>
      <c r="G225" s="6" t="s">
        <v>1035</v>
      </c>
      <c r="H225" s="7">
        <v>46094</v>
      </c>
      <c r="I225" s="6" t="s">
        <v>1310</v>
      </c>
      <c r="J225" s="6" t="s">
        <v>45</v>
      </c>
      <c r="K225" s="6" t="s">
        <v>45</v>
      </c>
      <c r="L225" s="10">
        <v>12</v>
      </c>
      <c r="M225" s="10">
        <v>3</v>
      </c>
      <c r="N225" s="6" t="s">
        <v>1696</v>
      </c>
      <c r="O225" s="6" t="s">
        <v>1036</v>
      </c>
      <c r="P225" s="27" t="s">
        <v>42</v>
      </c>
      <c r="Q225" s="7">
        <v>45729</v>
      </c>
      <c r="R225" s="7"/>
      <c r="S225" s="6" t="s">
        <v>45</v>
      </c>
      <c r="T225" s="7"/>
      <c r="U225" s="34"/>
    </row>
    <row r="226" spans="1:21" x14ac:dyDescent="0.35">
      <c r="A226" s="5" t="s">
        <v>1550</v>
      </c>
      <c r="B226" s="6" t="s">
        <v>718</v>
      </c>
      <c r="C226" s="6" t="s">
        <v>719</v>
      </c>
      <c r="D226" s="6" t="str">
        <f>VLOOKUP(B:B,'[2]Hakata Island Team'!$E:$G,3,)</f>
        <v xml:space="preserve">Sujith Sundaran </v>
      </c>
      <c r="E226" s="6" t="str">
        <f>VLOOKUP(B:B,'[2]Hakata Island Team'!$E:$H,4,)</f>
        <v>SPPL Fleet - B</v>
      </c>
      <c r="F226" s="6" t="s">
        <v>1586</v>
      </c>
      <c r="G226" s="6" t="s">
        <v>1035</v>
      </c>
      <c r="H226" s="7">
        <v>45749</v>
      </c>
      <c r="I226" s="6" t="s">
        <v>1552</v>
      </c>
      <c r="J226" s="6" t="s">
        <v>45</v>
      </c>
      <c r="K226" s="6" t="s">
        <v>45</v>
      </c>
      <c r="L226" s="10">
        <v>12</v>
      </c>
      <c r="M226" s="10">
        <v>0</v>
      </c>
      <c r="N226" s="6" t="s">
        <v>1537</v>
      </c>
      <c r="O226" s="6" t="s">
        <v>1036</v>
      </c>
      <c r="P226" s="27" t="s">
        <v>42</v>
      </c>
      <c r="Q226" s="7">
        <v>45384</v>
      </c>
      <c r="R226" s="7"/>
      <c r="S226" s="6" t="s">
        <v>45</v>
      </c>
      <c r="T226" s="7"/>
      <c r="U226" s="34"/>
    </row>
    <row r="227" spans="1:21" x14ac:dyDescent="0.35">
      <c r="A227" s="5" t="s">
        <v>1350</v>
      </c>
      <c r="B227" s="6" t="s">
        <v>718</v>
      </c>
      <c r="C227" s="6" t="s">
        <v>719</v>
      </c>
      <c r="D227" s="6" t="str">
        <f>VLOOKUP(B:B,'[2]Hakata Island Team'!$E:$G,3,)</f>
        <v xml:space="preserve">Sujith Sundaran </v>
      </c>
      <c r="E227" s="6" t="str">
        <f>VLOOKUP(B:B,'[2]Hakata Island Team'!$E:$H,4,)</f>
        <v>SPPL Fleet - B</v>
      </c>
      <c r="F227" s="6" t="s">
        <v>1589</v>
      </c>
      <c r="G227" s="6" t="s">
        <v>1535</v>
      </c>
      <c r="H227" s="7">
        <v>45361</v>
      </c>
      <c r="I227" s="6" t="s">
        <v>1351</v>
      </c>
      <c r="J227" s="6" t="s">
        <v>45</v>
      </c>
      <c r="K227" s="6" t="s">
        <v>45</v>
      </c>
      <c r="L227" s="10">
        <v>12</v>
      </c>
      <c r="M227" s="10">
        <v>0</v>
      </c>
      <c r="N227" s="6" t="s">
        <v>1537</v>
      </c>
      <c r="O227" s="6" t="s">
        <v>1036</v>
      </c>
      <c r="P227" s="27" t="s">
        <v>42</v>
      </c>
      <c r="Q227" s="7">
        <v>44995</v>
      </c>
      <c r="R227" s="7"/>
      <c r="S227" s="6" t="s">
        <v>45</v>
      </c>
      <c r="T227" s="7"/>
      <c r="U227" s="34"/>
    </row>
    <row r="228" spans="1:21" x14ac:dyDescent="0.35">
      <c r="A228" s="5" t="s">
        <v>1231</v>
      </c>
      <c r="B228" s="6" t="s">
        <v>1291</v>
      </c>
      <c r="C228" s="6" t="s">
        <v>1292</v>
      </c>
      <c r="D228" s="6" t="str">
        <f>VLOOKUP(B:B,'[2]Hakata Island Team'!$E:$G,3,)</f>
        <v>Vinoth Kumar R</v>
      </c>
      <c r="E228" s="6" t="str">
        <f>VLOOKUP(B:B,'[2]Hakata Island Team'!$E:$H,4,)</f>
        <v xml:space="preserve">SPPL Fleet - A </v>
      </c>
      <c r="F228" s="6" t="s">
        <v>1587</v>
      </c>
      <c r="G228" s="6" t="s">
        <v>1035</v>
      </c>
      <c r="H228" s="7">
        <v>46188</v>
      </c>
      <c r="I228" s="6" t="s">
        <v>1232</v>
      </c>
      <c r="J228" s="6" t="s">
        <v>45</v>
      </c>
      <c r="K228" s="6" t="s">
        <v>45</v>
      </c>
      <c r="L228" s="10">
        <v>12</v>
      </c>
      <c r="M228" s="10">
        <v>0</v>
      </c>
      <c r="N228" s="6" t="s">
        <v>1537</v>
      </c>
      <c r="O228" s="6" t="s">
        <v>1036</v>
      </c>
      <c r="P228" s="27" t="s">
        <v>42</v>
      </c>
      <c r="Q228" s="7">
        <v>46138</v>
      </c>
      <c r="R228" s="7"/>
      <c r="S228" s="6" t="s">
        <v>45</v>
      </c>
      <c r="T228" s="7"/>
      <c r="U228" s="34">
        <v>45824</v>
      </c>
    </row>
    <row r="229" spans="1:21" x14ac:dyDescent="0.35">
      <c r="A229" s="20" t="s">
        <v>1231</v>
      </c>
      <c r="B229" s="21" t="s">
        <v>1291</v>
      </c>
      <c r="C229" s="21" t="s">
        <v>1292</v>
      </c>
      <c r="D229" s="21" t="str">
        <f>VLOOKUP(B:B,'[2]Hakata Island Team'!$E:$G,3,)</f>
        <v>Vinoth Kumar R</v>
      </c>
      <c r="E229" s="21" t="str">
        <f>VLOOKUP(B:B,'[2]Hakata Island Team'!$E:$H,4,)</f>
        <v xml:space="preserve">SPPL Fleet - A </v>
      </c>
      <c r="F229" s="21" t="s">
        <v>1588</v>
      </c>
      <c r="G229" s="21" t="s">
        <v>1035</v>
      </c>
      <c r="H229" s="32">
        <v>46188</v>
      </c>
      <c r="I229" s="21" t="s">
        <v>1232</v>
      </c>
      <c r="J229" s="21" t="s">
        <v>45</v>
      </c>
      <c r="K229" s="21" t="s">
        <v>45</v>
      </c>
      <c r="L229" s="24">
        <v>12</v>
      </c>
      <c r="M229" s="24">
        <v>0</v>
      </c>
      <c r="N229" s="21" t="s">
        <v>1537</v>
      </c>
      <c r="O229" s="21" t="s">
        <v>1036</v>
      </c>
      <c r="P229" s="31" t="s">
        <v>42</v>
      </c>
      <c r="Q229" s="32">
        <v>46138</v>
      </c>
      <c r="R229" s="32"/>
      <c r="S229" s="21" t="s">
        <v>45</v>
      </c>
      <c r="T229" s="32"/>
      <c r="U229" s="35">
        <v>45824</v>
      </c>
    </row>
  </sheetData>
  <hyperlinks>
    <hyperlink ref="C1" location="Summary!A1" display="Back to summary" xr:uid="{8909DF8E-7D86-4C2D-B244-2E2631B3A205}"/>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79FF-BDB4-427D-89E5-7922936E7493}">
  <dimension ref="A1:L23"/>
  <sheetViews>
    <sheetView workbookViewId="0">
      <selection activeCell="C1" sqref="C1"/>
    </sheetView>
  </sheetViews>
  <sheetFormatPr defaultRowHeight="14.5" x14ac:dyDescent="0.35"/>
  <cols>
    <col min="3" max="3" width="19.90625" bestFit="1" customWidth="1"/>
    <col min="4" max="4" width="18.26953125" bestFit="1" customWidth="1"/>
    <col min="5" max="5" width="9.54296875" bestFit="1" customWidth="1"/>
  </cols>
  <sheetData>
    <row r="1" spans="1:12" x14ac:dyDescent="0.35">
      <c r="C1" s="49" t="s">
        <v>2102</v>
      </c>
    </row>
    <row r="2" spans="1:12" x14ac:dyDescent="0.35">
      <c r="A2" s="36" t="s">
        <v>1697</v>
      </c>
      <c r="B2" s="36" t="s">
        <v>1698</v>
      </c>
      <c r="C2" s="36" t="s">
        <v>4</v>
      </c>
      <c r="D2" s="36" t="s">
        <v>5</v>
      </c>
      <c r="E2" s="36" t="s">
        <v>6</v>
      </c>
      <c r="F2" s="36" t="s">
        <v>1699</v>
      </c>
      <c r="G2" s="36" t="s">
        <v>1700</v>
      </c>
      <c r="H2" s="36" t="s">
        <v>1701</v>
      </c>
      <c r="I2" s="36" t="s">
        <v>1017</v>
      </c>
      <c r="J2" s="36" t="s">
        <v>10</v>
      </c>
      <c r="K2" s="36" t="s">
        <v>1702</v>
      </c>
      <c r="L2" s="36" t="s">
        <v>1703</v>
      </c>
    </row>
    <row r="3" spans="1:12" x14ac:dyDescent="0.35">
      <c r="A3" s="37" t="s">
        <v>1704</v>
      </c>
      <c r="B3" s="37" t="s">
        <v>1705</v>
      </c>
      <c r="C3" s="37" t="s">
        <v>1025</v>
      </c>
      <c r="D3" s="44" t="s">
        <v>2019</v>
      </c>
      <c r="E3" s="44" t="s">
        <v>2010</v>
      </c>
      <c r="F3" s="37" t="s">
        <v>1706</v>
      </c>
      <c r="G3" s="37" t="s">
        <v>1707</v>
      </c>
      <c r="H3" s="38">
        <v>46098.544082604203</v>
      </c>
      <c r="I3" s="37" t="s">
        <v>1036</v>
      </c>
      <c r="J3" s="39" t="s">
        <v>1029</v>
      </c>
      <c r="K3" s="40" t="b">
        <v>0</v>
      </c>
      <c r="L3" s="37" t="s">
        <v>45</v>
      </c>
    </row>
    <row r="4" spans="1:12" x14ac:dyDescent="0.35">
      <c r="A4" s="37" t="s">
        <v>1708</v>
      </c>
      <c r="B4" s="37" t="s">
        <v>1705</v>
      </c>
      <c r="C4" s="37" t="s">
        <v>1709</v>
      </c>
      <c r="D4" s="44" t="s">
        <v>2016</v>
      </c>
      <c r="E4" s="44" t="s">
        <v>2014</v>
      </c>
      <c r="F4" s="37" t="s">
        <v>1710</v>
      </c>
      <c r="G4" s="37" t="s">
        <v>1711</v>
      </c>
      <c r="H4" s="38">
        <v>46097.650623645801</v>
      </c>
      <c r="I4" s="37" t="s">
        <v>1712</v>
      </c>
      <c r="J4" s="39" t="s">
        <v>1029</v>
      </c>
      <c r="K4" s="40" t="b">
        <v>0</v>
      </c>
      <c r="L4" s="37" t="s">
        <v>45</v>
      </c>
    </row>
    <row r="5" spans="1:12" x14ac:dyDescent="0.35">
      <c r="A5" s="37" t="s">
        <v>1713</v>
      </c>
      <c r="B5" s="37" t="s">
        <v>1705</v>
      </c>
      <c r="C5" s="37" t="s">
        <v>1709</v>
      </c>
      <c r="D5" s="44" t="s">
        <v>2016</v>
      </c>
      <c r="E5" s="44" t="s">
        <v>2014</v>
      </c>
      <c r="F5" s="37" t="s">
        <v>1714</v>
      </c>
      <c r="G5" s="37" t="s">
        <v>1711</v>
      </c>
      <c r="H5" s="38">
        <v>46097.650361076398</v>
      </c>
      <c r="I5" s="37" t="s">
        <v>1715</v>
      </c>
      <c r="J5" s="39" t="s">
        <v>1029</v>
      </c>
      <c r="K5" s="40" t="b">
        <v>0</v>
      </c>
      <c r="L5" s="37" t="s">
        <v>45</v>
      </c>
    </row>
    <row r="6" spans="1:12" x14ac:dyDescent="0.35">
      <c r="A6" s="37" t="s">
        <v>1716</v>
      </c>
      <c r="B6" s="37" t="s">
        <v>1705</v>
      </c>
      <c r="C6" s="37" t="s">
        <v>1709</v>
      </c>
      <c r="D6" s="44" t="s">
        <v>2016</v>
      </c>
      <c r="E6" s="44" t="s">
        <v>2014</v>
      </c>
      <c r="F6" s="37" t="s">
        <v>1717</v>
      </c>
      <c r="G6" s="37" t="s">
        <v>1711</v>
      </c>
      <c r="H6" s="38">
        <v>46097.649035532399</v>
      </c>
      <c r="I6" s="37" t="s">
        <v>1715</v>
      </c>
      <c r="J6" s="39" t="s">
        <v>1029</v>
      </c>
      <c r="K6" s="40" t="b">
        <v>0</v>
      </c>
      <c r="L6" s="37" t="s">
        <v>45</v>
      </c>
    </row>
    <row r="7" spans="1:12" x14ac:dyDescent="0.35">
      <c r="A7" s="37" t="s">
        <v>1718</v>
      </c>
      <c r="B7" s="37" t="s">
        <v>1705</v>
      </c>
      <c r="C7" s="37" t="s">
        <v>1099</v>
      </c>
      <c r="D7" s="44" t="s">
        <v>2018</v>
      </c>
      <c r="E7" s="44" t="s">
        <v>2006</v>
      </c>
      <c r="F7" s="37" t="s">
        <v>1719</v>
      </c>
      <c r="G7" s="37" t="s">
        <v>1720</v>
      </c>
      <c r="H7" s="38">
        <v>46093.365704664298</v>
      </c>
      <c r="I7" s="37" t="s">
        <v>1036</v>
      </c>
      <c r="J7" s="39" t="s">
        <v>1029</v>
      </c>
      <c r="K7" s="40" t="b">
        <v>0</v>
      </c>
      <c r="L7" s="37" t="s">
        <v>45</v>
      </c>
    </row>
    <row r="8" spans="1:12" x14ac:dyDescent="0.35">
      <c r="A8" s="37" t="s">
        <v>1721</v>
      </c>
      <c r="B8" s="37" t="s">
        <v>1705</v>
      </c>
      <c r="C8" s="37" t="s">
        <v>1722</v>
      </c>
      <c r="D8" s="44" t="s">
        <v>2020</v>
      </c>
      <c r="E8" s="44" t="s">
        <v>2001</v>
      </c>
      <c r="F8" s="37" t="s">
        <v>1723</v>
      </c>
      <c r="G8" s="37" t="s">
        <v>1724</v>
      </c>
      <c r="H8" s="38">
        <v>46087.574126504602</v>
      </c>
      <c r="I8" s="37" t="s">
        <v>1036</v>
      </c>
      <c r="J8" s="39" t="s">
        <v>1029</v>
      </c>
      <c r="K8" s="40" t="b">
        <v>0</v>
      </c>
      <c r="L8" s="37" t="s">
        <v>45</v>
      </c>
    </row>
    <row r="9" spans="1:12" x14ac:dyDescent="0.35">
      <c r="A9" s="37" t="s">
        <v>1725</v>
      </c>
      <c r="B9" s="37" t="s">
        <v>1705</v>
      </c>
      <c r="C9" s="37" t="s">
        <v>1059</v>
      </c>
      <c r="D9" s="44" t="s">
        <v>2005</v>
      </c>
      <c r="E9" s="44" t="s">
        <v>2006</v>
      </c>
      <c r="F9" s="37" t="s">
        <v>1726</v>
      </c>
      <c r="G9" s="37" t="s">
        <v>1727</v>
      </c>
      <c r="H9" s="38">
        <v>46085.940185034699</v>
      </c>
      <c r="I9" s="37" t="s">
        <v>1036</v>
      </c>
      <c r="J9" s="39" t="s">
        <v>1029</v>
      </c>
      <c r="K9" s="40" t="b">
        <v>0</v>
      </c>
      <c r="L9" s="37" t="s">
        <v>45</v>
      </c>
    </row>
    <row r="10" spans="1:12" x14ac:dyDescent="0.35">
      <c r="A10" s="37" t="s">
        <v>1728</v>
      </c>
      <c r="B10" s="37" t="s">
        <v>1705</v>
      </c>
      <c r="C10" s="37" t="s">
        <v>1059</v>
      </c>
      <c r="D10" s="44" t="s">
        <v>2005</v>
      </c>
      <c r="E10" s="44" t="s">
        <v>2006</v>
      </c>
      <c r="F10" s="37" t="s">
        <v>1729</v>
      </c>
      <c r="G10" s="37" t="s">
        <v>1727</v>
      </c>
      <c r="H10" s="38">
        <v>46056.850687036997</v>
      </c>
      <c r="I10" s="37" t="s">
        <v>1036</v>
      </c>
      <c r="J10" s="39" t="s">
        <v>1029</v>
      </c>
      <c r="K10" s="40" t="b">
        <v>0</v>
      </c>
      <c r="L10" s="37" t="s">
        <v>45</v>
      </c>
    </row>
    <row r="11" spans="1:12" x14ac:dyDescent="0.35">
      <c r="A11" s="37" t="s">
        <v>1730</v>
      </c>
      <c r="B11" s="37" t="s">
        <v>1705</v>
      </c>
      <c r="C11" s="37" t="s">
        <v>1066</v>
      </c>
      <c r="D11" s="44" t="s">
        <v>2015</v>
      </c>
      <c r="E11" s="44" t="s">
        <v>2001</v>
      </c>
      <c r="F11" s="37" t="s">
        <v>1731</v>
      </c>
      <c r="G11" s="37" t="s">
        <v>1732</v>
      </c>
      <c r="H11" s="38">
        <v>46049.617308217603</v>
      </c>
      <c r="I11" s="37" t="s">
        <v>1036</v>
      </c>
      <c r="J11" s="39" t="s">
        <v>1029</v>
      </c>
      <c r="K11" s="40" t="b">
        <v>0</v>
      </c>
      <c r="L11" s="37" t="s">
        <v>45</v>
      </c>
    </row>
    <row r="12" spans="1:12" x14ac:dyDescent="0.35">
      <c r="A12" s="37" t="s">
        <v>1733</v>
      </c>
      <c r="B12" s="37" t="s">
        <v>1705</v>
      </c>
      <c r="C12" s="37" t="s">
        <v>1734</v>
      </c>
      <c r="D12" s="44" t="s">
        <v>2015</v>
      </c>
      <c r="E12" s="44" t="s">
        <v>2001</v>
      </c>
      <c r="F12" s="37" t="s">
        <v>1735</v>
      </c>
      <c r="G12" s="37" t="s">
        <v>1732</v>
      </c>
      <c r="H12" s="38">
        <v>46048.608344791697</v>
      </c>
      <c r="I12" s="37" t="s">
        <v>1036</v>
      </c>
      <c r="J12" s="39" t="s">
        <v>1029</v>
      </c>
      <c r="K12" s="40" t="b">
        <v>0</v>
      </c>
      <c r="L12" s="37" t="s">
        <v>45</v>
      </c>
    </row>
    <row r="13" spans="1:12" x14ac:dyDescent="0.35">
      <c r="A13" s="37" t="s">
        <v>1736</v>
      </c>
      <c r="B13" s="37" t="s">
        <v>1705</v>
      </c>
      <c r="C13" s="37" t="s">
        <v>1256</v>
      </c>
      <c r="D13" s="44" t="s">
        <v>2021</v>
      </c>
      <c r="E13" s="44" t="s">
        <v>2010</v>
      </c>
      <c r="F13" s="37" t="s">
        <v>1737</v>
      </c>
      <c r="G13" s="37" t="s">
        <v>1738</v>
      </c>
      <c r="H13" s="38">
        <v>46036.4921326736</v>
      </c>
      <c r="I13" s="37" t="s">
        <v>1036</v>
      </c>
      <c r="J13" s="39" t="s">
        <v>1029</v>
      </c>
      <c r="K13" s="40" t="b">
        <v>0</v>
      </c>
      <c r="L13" s="37" t="s">
        <v>45</v>
      </c>
    </row>
    <row r="14" spans="1:12" x14ac:dyDescent="0.35">
      <c r="A14" s="37" t="s">
        <v>1739</v>
      </c>
      <c r="B14" s="37" t="s">
        <v>1705</v>
      </c>
      <c r="C14" s="37" t="s">
        <v>1246</v>
      </c>
      <c r="D14" s="44" t="s">
        <v>2022</v>
      </c>
      <c r="E14" s="44" t="s">
        <v>2001</v>
      </c>
      <c r="F14" s="37" t="s">
        <v>1740</v>
      </c>
      <c r="G14" s="37" t="s">
        <v>1741</v>
      </c>
      <c r="H14" s="38">
        <v>46032.9218350347</v>
      </c>
      <c r="I14" s="37" t="s">
        <v>1036</v>
      </c>
      <c r="J14" s="39" t="s">
        <v>1029</v>
      </c>
      <c r="K14" s="40" t="b">
        <v>0</v>
      </c>
      <c r="L14" s="37" t="s">
        <v>45</v>
      </c>
    </row>
    <row r="15" spans="1:12" x14ac:dyDescent="0.35">
      <c r="A15" s="37" t="s">
        <v>1742</v>
      </c>
      <c r="B15" s="37" t="s">
        <v>1705</v>
      </c>
      <c r="C15" s="37" t="s">
        <v>1246</v>
      </c>
      <c r="D15" s="44" t="s">
        <v>2022</v>
      </c>
      <c r="E15" s="44" t="s">
        <v>2001</v>
      </c>
      <c r="F15" s="37" t="s">
        <v>1743</v>
      </c>
      <c r="G15" s="37" t="s">
        <v>1741</v>
      </c>
      <c r="H15" s="38">
        <v>46032.837513159699</v>
      </c>
      <c r="I15" s="37" t="s">
        <v>1036</v>
      </c>
      <c r="J15" s="39" t="s">
        <v>1029</v>
      </c>
      <c r="K15" s="40" t="b">
        <v>0</v>
      </c>
      <c r="L15" s="37" t="s">
        <v>45</v>
      </c>
    </row>
    <row r="16" spans="1:12" x14ac:dyDescent="0.35">
      <c r="A16" s="37" t="s">
        <v>1744</v>
      </c>
      <c r="B16" s="37" t="s">
        <v>1705</v>
      </c>
      <c r="C16" s="37" t="s">
        <v>1246</v>
      </c>
      <c r="D16" s="44" t="s">
        <v>2022</v>
      </c>
      <c r="E16" s="44" t="s">
        <v>2001</v>
      </c>
      <c r="F16" s="37" t="s">
        <v>1745</v>
      </c>
      <c r="G16" s="37" t="s">
        <v>1741</v>
      </c>
      <c r="H16" s="38">
        <v>46029.938874039399</v>
      </c>
      <c r="I16" s="37" t="s">
        <v>1036</v>
      </c>
      <c r="J16" s="39" t="s">
        <v>1029</v>
      </c>
      <c r="K16" s="40" t="b">
        <v>0</v>
      </c>
      <c r="L16" s="37" t="s">
        <v>45</v>
      </c>
    </row>
    <row r="17" spans="1:12" x14ac:dyDescent="0.35">
      <c r="A17" s="37" t="s">
        <v>1746</v>
      </c>
      <c r="B17" s="37" t="s">
        <v>1705</v>
      </c>
      <c r="C17" s="37" t="s">
        <v>1747</v>
      </c>
      <c r="D17" s="44" t="s">
        <v>2017</v>
      </c>
      <c r="E17" s="44" t="s">
        <v>2014</v>
      </c>
      <c r="F17" s="37" t="s">
        <v>1748</v>
      </c>
      <c r="G17" s="37" t="s">
        <v>1749</v>
      </c>
      <c r="H17" s="38">
        <v>46010.130392627303</v>
      </c>
      <c r="I17" s="37" t="s">
        <v>1712</v>
      </c>
      <c r="J17" s="39" t="s">
        <v>1029</v>
      </c>
      <c r="K17" s="40" t="b">
        <v>0</v>
      </c>
      <c r="L17" s="37" t="s">
        <v>45</v>
      </c>
    </row>
    <row r="18" spans="1:12" x14ac:dyDescent="0.35">
      <c r="A18" s="37" t="s">
        <v>1750</v>
      </c>
      <c r="B18" s="37" t="s">
        <v>1705</v>
      </c>
      <c r="C18" s="37" t="s">
        <v>759</v>
      </c>
      <c r="D18" s="44" t="s">
        <v>1995</v>
      </c>
      <c r="E18" s="44" t="s">
        <v>1996</v>
      </c>
      <c r="F18" s="37" t="s">
        <v>1751</v>
      </c>
      <c r="G18" s="37" t="s">
        <v>1752</v>
      </c>
      <c r="H18" s="38">
        <v>46000.219700196802</v>
      </c>
      <c r="I18" s="37" t="s">
        <v>1036</v>
      </c>
      <c r="J18" s="39" t="s">
        <v>1029</v>
      </c>
      <c r="K18" s="40" t="b">
        <v>0</v>
      </c>
      <c r="L18" s="37" t="s">
        <v>45</v>
      </c>
    </row>
    <row r="19" spans="1:12" x14ac:dyDescent="0.35">
      <c r="A19" s="37" t="s">
        <v>1753</v>
      </c>
      <c r="B19" s="37" t="s">
        <v>1705</v>
      </c>
      <c r="C19" s="37" t="s">
        <v>1059</v>
      </c>
      <c r="D19" s="44" t="s">
        <v>2005</v>
      </c>
      <c r="E19" s="44" t="s">
        <v>2006</v>
      </c>
      <c r="F19" s="37" t="s">
        <v>1754</v>
      </c>
      <c r="G19" s="37" t="s">
        <v>1727</v>
      </c>
      <c r="H19" s="38">
        <v>45927.9284295139</v>
      </c>
      <c r="I19" s="37" t="s">
        <v>1036</v>
      </c>
      <c r="J19" s="39" t="s">
        <v>1029</v>
      </c>
      <c r="K19" s="40" t="b">
        <v>0</v>
      </c>
      <c r="L19" s="37" t="s">
        <v>45</v>
      </c>
    </row>
    <row r="20" spans="1:12" x14ac:dyDescent="0.35">
      <c r="A20" s="37" t="s">
        <v>1755</v>
      </c>
      <c r="B20" s="37" t="s">
        <v>1705</v>
      </c>
      <c r="C20" s="37" t="s">
        <v>1756</v>
      </c>
      <c r="D20" s="44" t="s">
        <v>2011</v>
      </c>
      <c r="E20" s="44" t="s">
        <v>1996</v>
      </c>
      <c r="F20" s="37" t="s">
        <v>1757</v>
      </c>
      <c r="G20" s="37" t="s">
        <v>1758</v>
      </c>
      <c r="H20" s="38">
        <v>45745.120036226901</v>
      </c>
      <c r="I20" s="37" t="s">
        <v>1036</v>
      </c>
      <c r="J20" s="39" t="s">
        <v>1029</v>
      </c>
      <c r="K20" s="40" t="b">
        <v>0</v>
      </c>
      <c r="L20" s="37" t="s">
        <v>45</v>
      </c>
    </row>
    <row r="21" spans="1:12" x14ac:dyDescent="0.35">
      <c r="A21" s="37" t="s">
        <v>1759</v>
      </c>
      <c r="B21" s="37" t="s">
        <v>1705</v>
      </c>
      <c r="C21" s="37" t="s">
        <v>839</v>
      </c>
      <c r="D21" s="44" t="s">
        <v>2005</v>
      </c>
      <c r="E21" s="44" t="s">
        <v>2006</v>
      </c>
      <c r="F21" s="37" t="s">
        <v>1760</v>
      </c>
      <c r="G21" s="37" t="s">
        <v>1727</v>
      </c>
      <c r="H21" s="38">
        <v>45728.569724687499</v>
      </c>
      <c r="I21" s="37" t="s">
        <v>1712</v>
      </c>
      <c r="J21" s="39" t="s">
        <v>1029</v>
      </c>
      <c r="K21" s="40" t="b">
        <v>0</v>
      </c>
      <c r="L21" s="37" t="s">
        <v>45</v>
      </c>
    </row>
    <row r="22" spans="1:12" x14ac:dyDescent="0.35">
      <c r="A22" s="37" t="s">
        <v>1761</v>
      </c>
      <c r="B22" s="37" t="s">
        <v>1705</v>
      </c>
      <c r="C22" s="37" t="s">
        <v>1580</v>
      </c>
      <c r="D22" s="44" t="s">
        <v>2018</v>
      </c>
      <c r="E22" s="44" t="s">
        <v>2006</v>
      </c>
      <c r="F22" s="37" t="s">
        <v>1762</v>
      </c>
      <c r="G22" s="37" t="s">
        <v>1720</v>
      </c>
      <c r="H22" s="38">
        <v>45714.463404479196</v>
      </c>
      <c r="I22" s="37" t="s">
        <v>1036</v>
      </c>
      <c r="J22" s="39" t="s">
        <v>1029</v>
      </c>
      <c r="K22" s="40" t="b">
        <v>0</v>
      </c>
      <c r="L22" s="37" t="s">
        <v>45</v>
      </c>
    </row>
    <row r="23" spans="1:12" x14ac:dyDescent="0.35">
      <c r="A23" s="37" t="s">
        <v>1763</v>
      </c>
      <c r="B23" s="37" t="s">
        <v>1705</v>
      </c>
      <c r="C23" s="37" t="s">
        <v>1292</v>
      </c>
      <c r="D23" s="44" t="s">
        <v>1997</v>
      </c>
      <c r="E23" s="44" t="s">
        <v>1996</v>
      </c>
      <c r="F23" s="37" t="s">
        <v>1764</v>
      </c>
      <c r="G23" s="37" t="s">
        <v>1765</v>
      </c>
      <c r="H23" s="38">
        <v>45594.741763425904</v>
      </c>
      <c r="I23" s="37" t="s">
        <v>1036</v>
      </c>
      <c r="J23" s="39" t="s">
        <v>1029</v>
      </c>
      <c r="K23" s="40" t="b">
        <v>0</v>
      </c>
      <c r="L23" s="37" t="s">
        <v>45</v>
      </c>
    </row>
  </sheetData>
  <hyperlinks>
    <hyperlink ref="C1" location="Summary!A1" display="Back to summary" xr:uid="{EDDD1DF8-D899-4B4A-87B9-4D3F206C202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C997-ED5C-4081-B6D7-A479AE43B255}">
  <dimension ref="A1:L13"/>
  <sheetViews>
    <sheetView workbookViewId="0"/>
  </sheetViews>
  <sheetFormatPr defaultRowHeight="14.5" x14ac:dyDescent="0.35"/>
  <cols>
    <col min="3" max="3" width="14.7265625" bestFit="1" customWidth="1"/>
    <col min="4" max="4" width="16.26953125" bestFit="1" customWidth="1"/>
  </cols>
  <sheetData>
    <row r="1" spans="1:12" x14ac:dyDescent="0.35">
      <c r="C1" s="48" t="s">
        <v>2102</v>
      </c>
    </row>
    <row r="2" spans="1:12" x14ac:dyDescent="0.35">
      <c r="A2" s="36" t="s">
        <v>1697</v>
      </c>
      <c r="B2" s="36" t="s">
        <v>1698</v>
      </c>
      <c r="C2" s="36" t="s">
        <v>4</v>
      </c>
      <c r="D2" s="36" t="s">
        <v>5</v>
      </c>
      <c r="E2" s="36" t="s">
        <v>6</v>
      </c>
      <c r="F2" s="36" t="s">
        <v>1699</v>
      </c>
      <c r="G2" s="36" t="s">
        <v>1700</v>
      </c>
      <c r="H2" s="36" t="s">
        <v>1701</v>
      </c>
      <c r="I2" s="36" t="s">
        <v>1017</v>
      </c>
      <c r="J2" s="36" t="s">
        <v>10</v>
      </c>
      <c r="K2" s="36" t="s">
        <v>1702</v>
      </c>
      <c r="L2" s="36" t="s">
        <v>1703</v>
      </c>
    </row>
    <row r="3" spans="1:12" x14ac:dyDescent="0.35">
      <c r="A3" s="37" t="s">
        <v>1766</v>
      </c>
      <c r="B3" s="37" t="s">
        <v>1705</v>
      </c>
      <c r="C3" s="37" t="s">
        <v>861</v>
      </c>
      <c r="D3" s="44" t="str">
        <f>VLOOKUP(C:C,'[2]Hakata Island Team'!$F:$G,2,)</f>
        <v xml:space="preserve">Sujith Sundaran </v>
      </c>
      <c r="E3" s="44" t="str">
        <f>VLOOKUP(C:C,'[2]Hakata Island Team'!$F:$H,3,)</f>
        <v>SPPL Fleet - B</v>
      </c>
      <c r="F3" s="37" t="s">
        <v>1767</v>
      </c>
      <c r="G3" s="37" t="s">
        <v>1727</v>
      </c>
      <c r="H3" s="38">
        <v>46094.095098842598</v>
      </c>
      <c r="I3" s="37" t="s">
        <v>1036</v>
      </c>
      <c r="J3" s="39" t="s">
        <v>1029</v>
      </c>
      <c r="K3" s="40" t="b">
        <v>1</v>
      </c>
      <c r="L3" s="37" t="s">
        <v>1768</v>
      </c>
    </row>
    <row r="4" spans="1:12" x14ac:dyDescent="0.35">
      <c r="A4" s="37" t="s">
        <v>1769</v>
      </c>
      <c r="B4" s="37" t="s">
        <v>1705</v>
      </c>
      <c r="C4" s="37" t="s">
        <v>861</v>
      </c>
      <c r="D4" s="44" t="str">
        <f>VLOOKUP(C:C,'[2]Hakata Island Team'!$F:$G,2,)</f>
        <v xml:space="preserve">Sujith Sundaran </v>
      </c>
      <c r="E4" s="44" t="str">
        <f>VLOOKUP(C:C,'[2]Hakata Island Team'!$F:$H,3,)</f>
        <v>SPPL Fleet - B</v>
      </c>
      <c r="F4" s="37" t="s">
        <v>1770</v>
      </c>
      <c r="G4" s="37" t="s">
        <v>1727</v>
      </c>
      <c r="H4" s="38">
        <v>46094.095093784701</v>
      </c>
      <c r="I4" s="37" t="s">
        <v>1036</v>
      </c>
      <c r="J4" s="39" t="s">
        <v>1029</v>
      </c>
      <c r="K4" s="40" t="b">
        <v>1</v>
      </c>
      <c r="L4" s="37" t="s">
        <v>1768</v>
      </c>
    </row>
    <row r="5" spans="1:12" x14ac:dyDescent="0.35">
      <c r="A5" s="37" t="s">
        <v>1771</v>
      </c>
      <c r="B5" s="37" t="s">
        <v>1705</v>
      </c>
      <c r="C5" s="37" t="s">
        <v>861</v>
      </c>
      <c r="D5" s="44" t="str">
        <f>VLOOKUP(C:C,'[2]Hakata Island Team'!$F:$G,2,)</f>
        <v xml:space="preserve">Sujith Sundaran </v>
      </c>
      <c r="E5" s="44" t="str">
        <f>VLOOKUP(C:C,'[2]Hakata Island Team'!$F:$H,3,)</f>
        <v>SPPL Fleet - B</v>
      </c>
      <c r="F5" s="37" t="s">
        <v>1772</v>
      </c>
      <c r="G5" s="37" t="s">
        <v>1727</v>
      </c>
      <c r="H5" s="38">
        <v>46094.094915243099</v>
      </c>
      <c r="I5" s="37" t="s">
        <v>1036</v>
      </c>
      <c r="J5" s="39" t="s">
        <v>1029</v>
      </c>
      <c r="K5" s="40" t="b">
        <v>1</v>
      </c>
      <c r="L5" s="37" t="s">
        <v>1768</v>
      </c>
    </row>
    <row r="6" spans="1:12" x14ac:dyDescent="0.35">
      <c r="A6" s="37" t="s">
        <v>1773</v>
      </c>
      <c r="B6" s="37" t="s">
        <v>1705</v>
      </c>
      <c r="C6" s="37" t="s">
        <v>861</v>
      </c>
      <c r="D6" s="44" t="str">
        <f>VLOOKUP(C:C,'[2]Hakata Island Team'!$F:$G,2,)</f>
        <v xml:space="preserve">Sujith Sundaran </v>
      </c>
      <c r="E6" s="44" t="str">
        <f>VLOOKUP(C:C,'[2]Hakata Island Team'!$F:$H,3,)</f>
        <v>SPPL Fleet - B</v>
      </c>
      <c r="F6" s="37" t="s">
        <v>1774</v>
      </c>
      <c r="G6" s="37" t="s">
        <v>1727</v>
      </c>
      <c r="H6" s="38">
        <v>46094.0949098032</v>
      </c>
      <c r="I6" s="37" t="s">
        <v>1036</v>
      </c>
      <c r="J6" s="39" t="s">
        <v>1029</v>
      </c>
      <c r="K6" s="40" t="b">
        <v>1</v>
      </c>
      <c r="L6" s="37" t="s">
        <v>1768</v>
      </c>
    </row>
    <row r="7" spans="1:12" x14ac:dyDescent="0.35">
      <c r="A7" s="37" t="s">
        <v>1775</v>
      </c>
      <c r="B7" s="37" t="s">
        <v>1705</v>
      </c>
      <c r="C7" s="37" t="s">
        <v>1292</v>
      </c>
      <c r="D7" s="44" t="str">
        <f>VLOOKUP(C:C,'[2]Hakata Island Team'!$F:$G,2,)</f>
        <v>Vinoth Kumar R</v>
      </c>
      <c r="E7" s="44" t="str">
        <f>VLOOKUP(C:C,'[2]Hakata Island Team'!$F:$H,3,)</f>
        <v xml:space="preserve">SPPL Fleet - A </v>
      </c>
      <c r="F7" s="37" t="s">
        <v>1776</v>
      </c>
      <c r="G7" s="37" t="s">
        <v>1777</v>
      </c>
      <c r="H7" s="38">
        <v>45974.471774074103</v>
      </c>
      <c r="I7" s="37" t="s">
        <v>1036</v>
      </c>
      <c r="J7" s="39" t="s">
        <v>1029</v>
      </c>
      <c r="K7" s="40" t="b">
        <v>1</v>
      </c>
      <c r="L7" s="37" t="s">
        <v>1778</v>
      </c>
    </row>
    <row r="8" spans="1:12" x14ac:dyDescent="0.35">
      <c r="A8" s="37" t="s">
        <v>1779</v>
      </c>
      <c r="B8" s="37" t="s">
        <v>1705</v>
      </c>
      <c r="C8" s="37" t="s">
        <v>1292</v>
      </c>
      <c r="D8" s="44" t="str">
        <f>VLOOKUP(C:C,'[2]Hakata Island Team'!$F:$G,2,)</f>
        <v>Vinoth Kumar R</v>
      </c>
      <c r="E8" s="44" t="str">
        <f>VLOOKUP(C:C,'[2]Hakata Island Team'!$F:$H,3,)</f>
        <v xml:space="preserve">SPPL Fleet - A </v>
      </c>
      <c r="F8" s="37" t="s">
        <v>1780</v>
      </c>
      <c r="G8" s="37" t="s">
        <v>1777</v>
      </c>
      <c r="H8" s="38">
        <v>45974.471771990698</v>
      </c>
      <c r="I8" s="37" t="s">
        <v>1036</v>
      </c>
      <c r="J8" s="39" t="s">
        <v>1029</v>
      </c>
      <c r="K8" s="40" t="b">
        <v>1</v>
      </c>
      <c r="L8" s="37" t="s">
        <v>1778</v>
      </c>
    </row>
    <row r="9" spans="1:12" x14ac:dyDescent="0.35">
      <c r="A9" s="37" t="s">
        <v>1781</v>
      </c>
      <c r="B9" s="37" t="s">
        <v>1705</v>
      </c>
      <c r="C9" s="37" t="s">
        <v>1292</v>
      </c>
      <c r="D9" s="44" t="str">
        <f>VLOOKUP(C:C,'[2]Hakata Island Team'!$F:$G,2,)</f>
        <v>Vinoth Kumar R</v>
      </c>
      <c r="E9" s="44" t="str">
        <f>VLOOKUP(C:C,'[2]Hakata Island Team'!$F:$H,3,)</f>
        <v xml:space="preserve">SPPL Fleet - A </v>
      </c>
      <c r="F9" s="37" t="s">
        <v>1782</v>
      </c>
      <c r="G9" s="37" t="s">
        <v>1777</v>
      </c>
      <c r="H9" s="38">
        <v>45974.471769213</v>
      </c>
      <c r="I9" s="37" t="s">
        <v>1036</v>
      </c>
      <c r="J9" s="39" t="s">
        <v>1029</v>
      </c>
      <c r="K9" s="40" t="b">
        <v>1</v>
      </c>
      <c r="L9" s="37" t="s">
        <v>1778</v>
      </c>
    </row>
    <row r="10" spans="1:12" x14ac:dyDescent="0.35">
      <c r="A10" s="37" t="s">
        <v>1783</v>
      </c>
      <c r="B10" s="37" t="s">
        <v>1705</v>
      </c>
      <c r="C10" s="37" t="s">
        <v>732</v>
      </c>
      <c r="D10" s="44" t="str">
        <f>VLOOKUP(C:C,'[2]Hakata Island Team'!$F:$G,2,)</f>
        <v>Rupak Chundayil Kalam</v>
      </c>
      <c r="E10" s="44" t="str">
        <f>VLOOKUP(C:C,'[2]Hakata Island Team'!$F:$H,3,)</f>
        <v>SPPL Fleet - B</v>
      </c>
      <c r="F10" s="37" t="s">
        <v>1784</v>
      </c>
      <c r="G10" s="37" t="s">
        <v>1785</v>
      </c>
      <c r="H10" s="38">
        <v>45974.368998923601</v>
      </c>
      <c r="I10" s="37" t="s">
        <v>1036</v>
      </c>
      <c r="J10" s="39" t="s">
        <v>1029</v>
      </c>
      <c r="K10" s="40" t="b">
        <v>1</v>
      </c>
      <c r="L10" s="37" t="s">
        <v>1778</v>
      </c>
    </row>
    <row r="11" spans="1:12" x14ac:dyDescent="0.35">
      <c r="A11" s="37" t="s">
        <v>1786</v>
      </c>
      <c r="B11" s="37" t="s">
        <v>1705</v>
      </c>
      <c r="C11" s="37" t="s">
        <v>732</v>
      </c>
      <c r="D11" s="44" t="str">
        <f>VLOOKUP(C:C,'[2]Hakata Island Team'!$F:$G,2,)</f>
        <v>Rupak Chundayil Kalam</v>
      </c>
      <c r="E11" s="44" t="str">
        <f>VLOOKUP(C:C,'[2]Hakata Island Team'!$F:$H,3,)</f>
        <v>SPPL Fleet - B</v>
      </c>
      <c r="F11" s="37" t="s">
        <v>1787</v>
      </c>
      <c r="G11" s="37" t="s">
        <v>1785</v>
      </c>
      <c r="H11" s="38">
        <v>45974.368992511598</v>
      </c>
      <c r="I11" s="37" t="s">
        <v>1036</v>
      </c>
      <c r="J11" s="39" t="s">
        <v>1029</v>
      </c>
      <c r="K11" s="40" t="b">
        <v>1</v>
      </c>
      <c r="L11" s="37" t="s">
        <v>1778</v>
      </c>
    </row>
    <row r="12" spans="1:12" x14ac:dyDescent="0.35">
      <c r="A12" s="37" t="s">
        <v>1788</v>
      </c>
      <c r="B12" s="37" t="s">
        <v>1705</v>
      </c>
      <c r="C12" s="37" t="s">
        <v>732</v>
      </c>
      <c r="D12" s="44" t="str">
        <f>VLOOKUP(C:C,'[2]Hakata Island Team'!$F:$G,2,)</f>
        <v>Rupak Chundayil Kalam</v>
      </c>
      <c r="E12" s="44" t="str">
        <f>VLOOKUP(C:C,'[2]Hakata Island Team'!$F:$H,3,)</f>
        <v>SPPL Fleet - B</v>
      </c>
      <c r="F12" s="37" t="s">
        <v>1789</v>
      </c>
      <c r="G12" s="37" t="s">
        <v>1785</v>
      </c>
      <c r="H12" s="38">
        <v>45974.368975543999</v>
      </c>
      <c r="I12" s="37" t="s">
        <v>1036</v>
      </c>
      <c r="J12" s="39" t="s">
        <v>1029</v>
      </c>
      <c r="K12" s="40" t="b">
        <v>1</v>
      </c>
      <c r="L12" s="37" t="s">
        <v>1778</v>
      </c>
    </row>
    <row r="13" spans="1:12" x14ac:dyDescent="0.35">
      <c r="A13" s="37" t="s">
        <v>1790</v>
      </c>
      <c r="B13" s="37" t="s">
        <v>1705</v>
      </c>
      <c r="C13" s="37" t="s">
        <v>1099</v>
      </c>
      <c r="D13" s="44" t="str">
        <f>VLOOKUP(C:C,'[2]Hakata Island Team'!$F:$G,2,)</f>
        <v>Karthik Nair</v>
      </c>
      <c r="E13" s="44" t="str">
        <f>VLOOKUP(C:C,'[2]Hakata Island Team'!$F:$H,3,)</f>
        <v>SPPL Fleet - B</v>
      </c>
      <c r="F13" s="37" t="s">
        <v>1791</v>
      </c>
      <c r="G13" s="37" t="s">
        <v>1792</v>
      </c>
      <c r="H13" s="38">
        <v>45971.554404594899</v>
      </c>
      <c r="I13" s="37" t="s">
        <v>1036</v>
      </c>
      <c r="J13" s="39" t="s">
        <v>1029</v>
      </c>
      <c r="K13" s="40" t="b">
        <v>1</v>
      </c>
      <c r="L13" s="37" t="s">
        <v>1778</v>
      </c>
    </row>
  </sheetData>
  <autoFilter ref="A2:L2" xr:uid="{29A2C997-ED5C-4081-B6D7-A479AE43B255}"/>
  <hyperlinks>
    <hyperlink ref="C1" location="Summary!A1" display="Back to summary" xr:uid="{0771F9E1-16AC-46BB-962D-5E966E557A0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220F-4F52-4E51-8664-C41B58295372}">
  <dimension ref="A1:S8"/>
  <sheetViews>
    <sheetView workbookViewId="0">
      <selection activeCell="D1" sqref="D1"/>
    </sheetView>
  </sheetViews>
  <sheetFormatPr defaultRowHeight="14.5" x14ac:dyDescent="0.35"/>
  <cols>
    <col min="3" max="3" width="13" bestFit="1" customWidth="1"/>
    <col min="4" max="4" width="23.36328125" bestFit="1" customWidth="1"/>
    <col min="5" max="5" width="10.08984375" bestFit="1" customWidth="1"/>
  </cols>
  <sheetData>
    <row r="1" spans="1:19" x14ac:dyDescent="0.35">
      <c r="D1" s="49" t="s">
        <v>2102</v>
      </c>
    </row>
    <row r="2" spans="1:19" x14ac:dyDescent="0.35">
      <c r="A2" s="36" t="s">
        <v>1793</v>
      </c>
      <c r="B2" s="36" t="s">
        <v>1794</v>
      </c>
      <c r="C2" s="36" t="s">
        <v>4</v>
      </c>
      <c r="D2" s="36" t="s">
        <v>5</v>
      </c>
      <c r="E2" s="36" t="s">
        <v>6</v>
      </c>
      <c r="F2" s="36" t="s">
        <v>1795</v>
      </c>
      <c r="G2" s="36" t="s">
        <v>1017</v>
      </c>
      <c r="H2" s="36" t="s">
        <v>10</v>
      </c>
      <c r="I2" s="36" t="s">
        <v>1796</v>
      </c>
      <c r="J2" s="36" t="s">
        <v>1701</v>
      </c>
      <c r="K2" s="36" t="s">
        <v>1797</v>
      </c>
      <c r="L2" s="36" t="s">
        <v>1798</v>
      </c>
      <c r="M2" s="36" t="s">
        <v>1799</v>
      </c>
      <c r="N2" s="36" t="s">
        <v>1800</v>
      </c>
      <c r="O2" s="36" t="s">
        <v>1801</v>
      </c>
      <c r="P2" s="36" t="s">
        <v>1802</v>
      </c>
      <c r="Q2" s="36" t="s">
        <v>1803</v>
      </c>
      <c r="R2" s="36" t="s">
        <v>1804</v>
      </c>
      <c r="S2" s="36" t="s">
        <v>1805</v>
      </c>
    </row>
    <row r="3" spans="1:19" x14ac:dyDescent="0.35">
      <c r="A3" s="37" t="s">
        <v>1806</v>
      </c>
      <c r="B3" s="37" t="s">
        <v>1768</v>
      </c>
      <c r="C3" s="37" t="s">
        <v>1048</v>
      </c>
      <c r="D3" s="44" t="s">
        <v>2011</v>
      </c>
      <c r="E3" s="44" t="s">
        <v>1996</v>
      </c>
      <c r="F3" s="37" t="s">
        <v>1807</v>
      </c>
      <c r="G3" s="37" t="s">
        <v>1808</v>
      </c>
      <c r="H3" s="39" t="s">
        <v>1029</v>
      </c>
      <c r="I3" s="37" t="s">
        <v>1809</v>
      </c>
      <c r="J3" s="38">
        <v>46073.504515011598</v>
      </c>
      <c r="K3" s="37" t="s">
        <v>1810</v>
      </c>
      <c r="L3" s="37" t="s">
        <v>1810</v>
      </c>
      <c r="M3" s="37" t="s">
        <v>1810</v>
      </c>
      <c r="N3" s="37" t="s">
        <v>1810</v>
      </c>
      <c r="O3" s="37" t="s">
        <v>1811</v>
      </c>
      <c r="P3" s="37" t="s">
        <v>1810</v>
      </c>
      <c r="Q3" s="37" t="s">
        <v>1810</v>
      </c>
      <c r="R3" s="41">
        <v>46031</v>
      </c>
      <c r="S3" s="41">
        <v>46035</v>
      </c>
    </row>
    <row r="4" spans="1:19" x14ac:dyDescent="0.35">
      <c r="A4" s="37" t="s">
        <v>1812</v>
      </c>
      <c r="B4" s="37" t="s">
        <v>1768</v>
      </c>
      <c r="C4" s="37" t="s">
        <v>1066</v>
      </c>
      <c r="D4" s="44" t="s">
        <v>2015</v>
      </c>
      <c r="E4" s="44" t="s">
        <v>2001</v>
      </c>
      <c r="F4" s="37" t="s">
        <v>1807</v>
      </c>
      <c r="G4" s="37" t="s">
        <v>1808</v>
      </c>
      <c r="H4" s="39" t="s">
        <v>1029</v>
      </c>
      <c r="I4" s="37" t="s">
        <v>1813</v>
      </c>
      <c r="J4" s="38">
        <v>46049.1834558681</v>
      </c>
      <c r="K4" s="37" t="s">
        <v>1810</v>
      </c>
      <c r="L4" s="37" t="s">
        <v>1814</v>
      </c>
      <c r="M4" s="37" t="s">
        <v>1810</v>
      </c>
      <c r="N4" s="37" t="s">
        <v>1810</v>
      </c>
      <c r="O4" s="37" t="s">
        <v>1815</v>
      </c>
      <c r="P4" s="37" t="s">
        <v>1810</v>
      </c>
      <c r="Q4" s="37" t="s">
        <v>1810</v>
      </c>
      <c r="R4" s="41">
        <v>46016</v>
      </c>
      <c r="S4" s="41">
        <v>46020</v>
      </c>
    </row>
    <row r="5" spans="1:19" x14ac:dyDescent="0.35">
      <c r="A5" s="37" t="s">
        <v>1816</v>
      </c>
      <c r="B5" s="37" t="s">
        <v>1768</v>
      </c>
      <c r="C5" s="37" t="s">
        <v>1616</v>
      </c>
      <c r="D5" s="44" t="s">
        <v>2015</v>
      </c>
      <c r="E5" s="44" t="s">
        <v>2001</v>
      </c>
      <c r="F5" s="37" t="s">
        <v>1807</v>
      </c>
      <c r="G5" s="37" t="s">
        <v>1808</v>
      </c>
      <c r="H5" s="39" t="s">
        <v>1029</v>
      </c>
      <c r="I5" s="37" t="s">
        <v>1732</v>
      </c>
      <c r="J5" s="38">
        <v>46041.240219293999</v>
      </c>
      <c r="K5" s="37" t="s">
        <v>1810</v>
      </c>
      <c r="L5" s="37" t="s">
        <v>1817</v>
      </c>
      <c r="M5" s="37" t="s">
        <v>1810</v>
      </c>
      <c r="N5" s="37" t="s">
        <v>1810</v>
      </c>
      <c r="O5" s="37" t="s">
        <v>1818</v>
      </c>
      <c r="P5" s="37" t="s">
        <v>1810</v>
      </c>
      <c r="Q5" s="37" t="s">
        <v>1810</v>
      </c>
      <c r="R5" s="41">
        <v>46009</v>
      </c>
      <c r="S5" s="41">
        <v>46012</v>
      </c>
    </row>
    <row r="6" spans="1:19" x14ac:dyDescent="0.35">
      <c r="A6" s="37" t="s">
        <v>1819</v>
      </c>
      <c r="B6" s="37" t="s">
        <v>1768</v>
      </c>
      <c r="C6" s="37" t="s">
        <v>803</v>
      </c>
      <c r="D6" s="44" t="s">
        <v>2018</v>
      </c>
      <c r="E6" s="44" t="s">
        <v>2006</v>
      </c>
      <c r="F6" s="37" t="s">
        <v>1807</v>
      </c>
      <c r="G6" s="37" t="s">
        <v>1808</v>
      </c>
      <c r="H6" s="39" t="s">
        <v>1029</v>
      </c>
      <c r="I6" s="37" t="s">
        <v>1720</v>
      </c>
      <c r="J6" s="38">
        <v>46038.234886655096</v>
      </c>
      <c r="K6" s="37" t="s">
        <v>1810</v>
      </c>
      <c r="L6" s="37" t="s">
        <v>1820</v>
      </c>
      <c r="M6" s="37" t="s">
        <v>1810</v>
      </c>
      <c r="N6" s="37" t="s">
        <v>1810</v>
      </c>
      <c r="O6" s="37" t="s">
        <v>1810</v>
      </c>
      <c r="P6" s="37" t="s">
        <v>1810</v>
      </c>
      <c r="Q6" s="37" t="s">
        <v>1810</v>
      </c>
      <c r="R6" s="41">
        <v>46001</v>
      </c>
      <c r="S6" s="41">
        <v>46009</v>
      </c>
    </row>
    <row r="7" spans="1:19" x14ac:dyDescent="0.35">
      <c r="A7" s="37" t="s">
        <v>1821</v>
      </c>
      <c r="B7" s="37" t="s">
        <v>1768</v>
      </c>
      <c r="C7" s="37" t="s">
        <v>1734</v>
      </c>
      <c r="D7" s="44" t="s">
        <v>2015</v>
      </c>
      <c r="E7" s="44" t="s">
        <v>2001</v>
      </c>
      <c r="F7" s="37" t="s">
        <v>1807</v>
      </c>
      <c r="G7" s="37" t="s">
        <v>1808</v>
      </c>
      <c r="H7" s="39" t="s">
        <v>1029</v>
      </c>
      <c r="I7" s="37" t="s">
        <v>1724</v>
      </c>
      <c r="J7" s="38">
        <v>45902.127987002299</v>
      </c>
      <c r="K7" s="37" t="s">
        <v>1810</v>
      </c>
      <c r="L7" s="37" t="s">
        <v>1810</v>
      </c>
      <c r="M7" s="37" t="s">
        <v>1810</v>
      </c>
      <c r="N7" s="37" t="s">
        <v>1810</v>
      </c>
      <c r="O7" s="37" t="s">
        <v>1822</v>
      </c>
      <c r="P7" s="37" t="s">
        <v>1810</v>
      </c>
      <c r="Q7" s="37" t="s">
        <v>1810</v>
      </c>
      <c r="R7" s="41">
        <v>45867</v>
      </c>
      <c r="S7" s="41">
        <v>45869</v>
      </c>
    </row>
    <row r="8" spans="1:19" x14ac:dyDescent="0.35">
      <c r="A8" s="37" t="s">
        <v>1823</v>
      </c>
      <c r="B8" s="37" t="s">
        <v>1768</v>
      </c>
      <c r="C8" s="37" t="s">
        <v>861</v>
      </c>
      <c r="D8" s="44" t="s">
        <v>2005</v>
      </c>
      <c r="E8" s="44" t="s">
        <v>2006</v>
      </c>
      <c r="F8" s="37" t="s">
        <v>1807</v>
      </c>
      <c r="G8" s="37" t="s">
        <v>1636</v>
      </c>
      <c r="H8" s="39" t="s">
        <v>1029</v>
      </c>
      <c r="I8" s="37" t="s">
        <v>45</v>
      </c>
      <c r="J8" s="38">
        <v>45832.284476076398</v>
      </c>
      <c r="K8" s="37" t="s">
        <v>1810</v>
      </c>
      <c r="L8" s="37" t="s">
        <v>1810</v>
      </c>
      <c r="M8" s="37" t="s">
        <v>1810</v>
      </c>
      <c r="N8" s="37" t="s">
        <v>1810</v>
      </c>
      <c r="O8" s="37" t="s">
        <v>1810</v>
      </c>
      <c r="P8" s="37" t="s">
        <v>1810</v>
      </c>
      <c r="Q8" s="37" t="s">
        <v>1810</v>
      </c>
      <c r="R8" s="41">
        <v>45785</v>
      </c>
      <c r="S8" s="41">
        <v>45789</v>
      </c>
    </row>
  </sheetData>
  <autoFilter ref="A2:S2" xr:uid="{D18C220F-4F52-4E51-8664-C41B58295372}"/>
  <hyperlinks>
    <hyperlink ref="D1" location="Summary!A1" display="Back to summary" xr:uid="{8B46D578-9F6F-4AB4-A5E8-C4D30CEEDC2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CD04B-23AD-42E4-A133-8EAE86D62C9D}">
  <dimension ref="A1:S16"/>
  <sheetViews>
    <sheetView workbookViewId="0"/>
  </sheetViews>
  <sheetFormatPr defaultRowHeight="14.5" x14ac:dyDescent="0.35"/>
  <cols>
    <col min="3" max="3" width="17.7265625" bestFit="1" customWidth="1"/>
    <col min="4" max="4" width="16.54296875" bestFit="1" customWidth="1"/>
  </cols>
  <sheetData>
    <row r="1" spans="1:19" x14ac:dyDescent="0.35">
      <c r="C1" s="49" t="s">
        <v>2102</v>
      </c>
    </row>
    <row r="2" spans="1:19" x14ac:dyDescent="0.35">
      <c r="A2" s="36" t="s">
        <v>1793</v>
      </c>
      <c r="B2" s="36" t="s">
        <v>1794</v>
      </c>
      <c r="C2" s="36" t="s">
        <v>4</v>
      </c>
      <c r="D2" s="36" t="s">
        <v>5</v>
      </c>
      <c r="E2" s="36" t="s">
        <v>6</v>
      </c>
      <c r="F2" s="36" t="s">
        <v>1795</v>
      </c>
      <c r="G2" s="36" t="s">
        <v>1017</v>
      </c>
      <c r="H2" s="36" t="s">
        <v>10</v>
      </c>
      <c r="I2" s="36" t="s">
        <v>1796</v>
      </c>
      <c r="J2" s="36" t="s">
        <v>1701</v>
      </c>
      <c r="K2" s="36" t="s">
        <v>1797</v>
      </c>
      <c r="L2" s="36" t="s">
        <v>1798</v>
      </c>
      <c r="M2" s="36" t="s">
        <v>1799</v>
      </c>
      <c r="N2" s="36" t="s">
        <v>1800</v>
      </c>
      <c r="O2" s="36" t="s">
        <v>1801</v>
      </c>
      <c r="P2" s="36" t="s">
        <v>1802</v>
      </c>
      <c r="Q2" s="36" t="s">
        <v>1803</v>
      </c>
      <c r="R2" s="36" t="s">
        <v>1804</v>
      </c>
      <c r="S2" s="36" t="s">
        <v>1805</v>
      </c>
    </row>
    <row r="3" spans="1:19" x14ac:dyDescent="0.35">
      <c r="A3" s="37" t="s">
        <v>1824</v>
      </c>
      <c r="B3" s="37" t="s">
        <v>1825</v>
      </c>
      <c r="C3" s="37" t="s">
        <v>1044</v>
      </c>
      <c r="D3" s="44" t="s">
        <v>2009</v>
      </c>
      <c r="E3" s="44" t="s">
        <v>2010</v>
      </c>
      <c r="F3" s="37" t="s">
        <v>974</v>
      </c>
      <c r="G3" s="37" t="s">
        <v>1808</v>
      </c>
      <c r="H3" s="39" t="s">
        <v>1029</v>
      </c>
      <c r="I3" s="37" t="s">
        <v>1826</v>
      </c>
      <c r="J3" s="38">
        <v>46080.767920173603</v>
      </c>
      <c r="K3" s="37" t="s">
        <v>1810</v>
      </c>
      <c r="L3" s="37" t="s">
        <v>1810</v>
      </c>
      <c r="M3" s="37" t="s">
        <v>1810</v>
      </c>
      <c r="N3" s="37" t="s">
        <v>1810</v>
      </c>
      <c r="O3" s="37" t="s">
        <v>1810</v>
      </c>
      <c r="P3" s="37" t="s">
        <v>1810</v>
      </c>
      <c r="Q3" s="37" t="s">
        <v>1810</v>
      </c>
      <c r="R3" s="41">
        <v>46067</v>
      </c>
      <c r="S3" s="41">
        <v>46080</v>
      </c>
    </row>
    <row r="4" spans="1:19" x14ac:dyDescent="0.35">
      <c r="A4" s="37" t="s">
        <v>1827</v>
      </c>
      <c r="B4" s="37" t="s">
        <v>1828</v>
      </c>
      <c r="C4" s="37" t="s">
        <v>1368</v>
      </c>
      <c r="D4" s="44" t="s">
        <v>1995</v>
      </c>
      <c r="E4" s="44" t="s">
        <v>1996</v>
      </c>
      <c r="F4" s="37" t="s">
        <v>1829</v>
      </c>
      <c r="G4" s="37" t="s">
        <v>1808</v>
      </c>
      <c r="H4" s="39" t="s">
        <v>1029</v>
      </c>
      <c r="I4" s="37" t="s">
        <v>1777</v>
      </c>
      <c r="J4" s="38">
        <v>46060.192034722197</v>
      </c>
      <c r="K4" s="37" t="s">
        <v>1810</v>
      </c>
      <c r="L4" s="37" t="s">
        <v>1830</v>
      </c>
      <c r="M4" s="37" t="s">
        <v>1810</v>
      </c>
      <c r="N4" s="37" t="s">
        <v>1810</v>
      </c>
      <c r="O4" s="37" t="s">
        <v>1810</v>
      </c>
      <c r="P4" s="37" t="s">
        <v>1810</v>
      </c>
      <c r="Q4" s="37" t="s">
        <v>1810</v>
      </c>
      <c r="R4" s="41">
        <v>46059</v>
      </c>
      <c r="S4" s="41">
        <v>46060</v>
      </c>
    </row>
    <row r="5" spans="1:19" x14ac:dyDescent="0.35">
      <c r="A5" s="37" t="s">
        <v>1831</v>
      </c>
      <c r="B5" s="37" t="s">
        <v>1825</v>
      </c>
      <c r="C5" s="37" t="s">
        <v>1747</v>
      </c>
      <c r="D5" s="44" t="s">
        <v>2017</v>
      </c>
      <c r="E5" s="44" t="s">
        <v>2014</v>
      </c>
      <c r="F5" s="37" t="s">
        <v>45</v>
      </c>
      <c r="G5" s="37" t="s">
        <v>1808</v>
      </c>
      <c r="H5" s="39" t="s">
        <v>1029</v>
      </c>
      <c r="I5" s="37" t="s">
        <v>1749</v>
      </c>
      <c r="J5" s="38">
        <v>45973.535072916697</v>
      </c>
      <c r="K5" s="37" t="s">
        <v>1810</v>
      </c>
      <c r="L5" s="37" t="s">
        <v>1810</v>
      </c>
      <c r="M5" s="37" t="s">
        <v>1830</v>
      </c>
      <c r="N5" s="37" t="s">
        <v>1810</v>
      </c>
      <c r="O5" s="37" t="s">
        <v>1810</v>
      </c>
      <c r="P5" s="37" t="s">
        <v>1810</v>
      </c>
      <c r="Q5" s="37" t="s">
        <v>1810</v>
      </c>
      <c r="R5" s="41">
        <v>45960</v>
      </c>
      <c r="S5" s="41">
        <v>45973</v>
      </c>
    </row>
    <row r="6" spans="1:19" x14ac:dyDescent="0.35">
      <c r="A6" s="37" t="s">
        <v>1832</v>
      </c>
      <c r="B6" s="37" t="s">
        <v>1828</v>
      </c>
      <c r="C6" s="37" t="s">
        <v>1033</v>
      </c>
      <c r="D6" s="44" t="s">
        <v>1997</v>
      </c>
      <c r="E6" s="44" t="s">
        <v>1996</v>
      </c>
      <c r="F6" s="37" t="s">
        <v>1829</v>
      </c>
      <c r="G6" s="37" t="s">
        <v>1036</v>
      </c>
      <c r="H6" s="39" t="s">
        <v>1029</v>
      </c>
      <c r="I6" s="37" t="s">
        <v>1829</v>
      </c>
      <c r="J6" s="38">
        <v>45766.878001851903</v>
      </c>
      <c r="K6" s="37" t="s">
        <v>1810</v>
      </c>
      <c r="L6" s="37" t="s">
        <v>1810</v>
      </c>
      <c r="M6" s="37" t="s">
        <v>1810</v>
      </c>
      <c r="N6" s="37" t="s">
        <v>1810</v>
      </c>
      <c r="O6" s="37" t="s">
        <v>1810</v>
      </c>
      <c r="P6" s="37" t="s">
        <v>1810</v>
      </c>
      <c r="Q6" s="37" t="s">
        <v>1810</v>
      </c>
      <c r="R6" s="41">
        <v>45762</v>
      </c>
      <c r="S6" s="41">
        <v>45763</v>
      </c>
    </row>
    <row r="7" spans="1:19" x14ac:dyDescent="0.35">
      <c r="A7" s="37" t="s">
        <v>1833</v>
      </c>
      <c r="B7" s="37" t="s">
        <v>1834</v>
      </c>
      <c r="C7" s="37" t="s">
        <v>1033</v>
      </c>
      <c r="D7" s="44" t="s">
        <v>1997</v>
      </c>
      <c r="E7" s="44" t="s">
        <v>1996</v>
      </c>
      <c r="F7" s="37" t="s">
        <v>971</v>
      </c>
      <c r="G7" s="37" t="s">
        <v>1036</v>
      </c>
      <c r="H7" s="39" t="s">
        <v>1029</v>
      </c>
      <c r="I7" s="37" t="s">
        <v>1829</v>
      </c>
      <c r="J7" s="38">
        <v>45755.352081284698</v>
      </c>
      <c r="K7" s="37" t="s">
        <v>1810</v>
      </c>
      <c r="L7" s="37" t="s">
        <v>1810</v>
      </c>
      <c r="M7" s="37" t="s">
        <v>1810</v>
      </c>
      <c r="N7" s="37" t="s">
        <v>1810</v>
      </c>
      <c r="O7" s="37" t="s">
        <v>1810</v>
      </c>
      <c r="P7" s="37" t="s">
        <v>1810</v>
      </c>
      <c r="Q7" s="37" t="s">
        <v>1810</v>
      </c>
      <c r="R7" s="41">
        <v>45744</v>
      </c>
      <c r="S7" s="41">
        <v>45755</v>
      </c>
    </row>
    <row r="8" spans="1:19" x14ac:dyDescent="0.35">
      <c r="A8" s="37" t="s">
        <v>1835</v>
      </c>
      <c r="B8" s="37" t="s">
        <v>1836</v>
      </c>
      <c r="C8" s="37" t="s">
        <v>1582</v>
      </c>
      <c r="D8" s="44" t="s">
        <v>2012</v>
      </c>
      <c r="E8" s="44" t="s">
        <v>2001</v>
      </c>
      <c r="F8" s="37" t="s">
        <v>1829</v>
      </c>
      <c r="G8" s="37" t="s">
        <v>1808</v>
      </c>
      <c r="H8" s="39" t="s">
        <v>1029</v>
      </c>
      <c r="I8" s="37" t="s">
        <v>1837</v>
      </c>
      <c r="J8" s="38">
        <v>45754.254516435198</v>
      </c>
      <c r="K8" s="37" t="s">
        <v>1810</v>
      </c>
      <c r="L8" s="37" t="s">
        <v>1810</v>
      </c>
      <c r="M8" s="37" t="s">
        <v>1810</v>
      </c>
      <c r="N8" s="37" t="s">
        <v>1810</v>
      </c>
      <c r="O8" s="37" t="s">
        <v>1810</v>
      </c>
      <c r="P8" s="37" t="s">
        <v>1810</v>
      </c>
      <c r="Q8" s="37" t="s">
        <v>1810</v>
      </c>
      <c r="R8" s="41">
        <v>45753</v>
      </c>
      <c r="S8" s="41">
        <v>45753</v>
      </c>
    </row>
    <row r="9" spans="1:19" x14ac:dyDescent="0.35">
      <c r="A9" s="37" t="s">
        <v>1838</v>
      </c>
      <c r="B9" s="37" t="s">
        <v>1828</v>
      </c>
      <c r="C9" s="37" t="s">
        <v>1582</v>
      </c>
      <c r="D9" s="44" t="s">
        <v>2012</v>
      </c>
      <c r="E9" s="44" t="s">
        <v>2001</v>
      </c>
      <c r="F9" s="37" t="s">
        <v>1829</v>
      </c>
      <c r="G9" s="37" t="s">
        <v>1808</v>
      </c>
      <c r="H9" s="39" t="s">
        <v>1029</v>
      </c>
      <c r="I9" s="37" t="s">
        <v>1837</v>
      </c>
      <c r="J9" s="38">
        <v>45754.241461307902</v>
      </c>
      <c r="K9" s="37" t="s">
        <v>1810</v>
      </c>
      <c r="L9" s="37" t="s">
        <v>1810</v>
      </c>
      <c r="M9" s="37" t="s">
        <v>1810</v>
      </c>
      <c r="N9" s="37" t="s">
        <v>1810</v>
      </c>
      <c r="O9" s="37" t="s">
        <v>1810</v>
      </c>
      <c r="P9" s="37" t="s">
        <v>1810</v>
      </c>
      <c r="Q9" s="37" t="s">
        <v>1810</v>
      </c>
      <c r="R9" s="41">
        <v>45751</v>
      </c>
      <c r="S9" s="41">
        <v>45752</v>
      </c>
    </row>
    <row r="10" spans="1:19" x14ac:dyDescent="0.35">
      <c r="A10" s="37" t="s">
        <v>1839</v>
      </c>
      <c r="B10" s="37" t="s">
        <v>1840</v>
      </c>
      <c r="C10" s="37" t="s">
        <v>907</v>
      </c>
      <c r="D10" s="44" t="s">
        <v>2011</v>
      </c>
      <c r="E10" s="44" t="s">
        <v>1996</v>
      </c>
      <c r="F10" s="37" t="s">
        <v>1553</v>
      </c>
      <c r="G10" s="37" t="s">
        <v>1808</v>
      </c>
      <c r="H10" s="39" t="s">
        <v>1029</v>
      </c>
      <c r="I10" s="37" t="s">
        <v>1777</v>
      </c>
      <c r="J10" s="38">
        <v>45736.554355902801</v>
      </c>
      <c r="K10" s="37" t="s">
        <v>1810</v>
      </c>
      <c r="L10" s="37" t="s">
        <v>1810</v>
      </c>
      <c r="M10" s="37" t="s">
        <v>1810</v>
      </c>
      <c r="N10" s="37" t="s">
        <v>1810</v>
      </c>
      <c r="O10" s="37" t="s">
        <v>1810</v>
      </c>
      <c r="P10" s="37" t="s">
        <v>1810</v>
      </c>
      <c r="Q10" s="37" t="s">
        <v>1810</v>
      </c>
      <c r="R10" s="41">
        <v>45733</v>
      </c>
      <c r="S10" s="41">
        <v>45734</v>
      </c>
    </row>
    <row r="11" spans="1:19" x14ac:dyDescent="0.35">
      <c r="A11" s="37" t="s">
        <v>1841</v>
      </c>
      <c r="B11" s="37" t="s">
        <v>1836</v>
      </c>
      <c r="C11" s="37" t="s">
        <v>1606</v>
      </c>
      <c r="D11" s="44" t="s">
        <v>1997</v>
      </c>
      <c r="E11" s="44" t="s">
        <v>1996</v>
      </c>
      <c r="F11" s="37" t="s">
        <v>1829</v>
      </c>
      <c r="G11" s="37" t="s">
        <v>1125</v>
      </c>
      <c r="H11" s="39" t="s">
        <v>1029</v>
      </c>
      <c r="I11" s="37" t="s">
        <v>1829</v>
      </c>
      <c r="J11" s="38">
        <v>45652.703659606501</v>
      </c>
      <c r="K11" s="37" t="s">
        <v>1810</v>
      </c>
      <c r="L11" s="37" t="s">
        <v>1810</v>
      </c>
      <c r="M11" s="37" t="s">
        <v>1810</v>
      </c>
      <c r="N11" s="37" t="s">
        <v>1810</v>
      </c>
      <c r="O11" s="37" t="s">
        <v>1810</v>
      </c>
      <c r="P11" s="37" t="s">
        <v>1810</v>
      </c>
      <c r="Q11" s="37" t="s">
        <v>1810</v>
      </c>
      <c r="R11" s="41">
        <v>45641</v>
      </c>
      <c r="S11" s="41">
        <v>45652</v>
      </c>
    </row>
    <row r="12" spans="1:19" x14ac:dyDescent="0.35">
      <c r="A12" s="37" t="s">
        <v>1842</v>
      </c>
      <c r="B12" s="37" t="s">
        <v>1836</v>
      </c>
      <c r="C12" s="37" t="s">
        <v>1260</v>
      </c>
      <c r="D12" s="44" t="s">
        <v>2007</v>
      </c>
      <c r="E12" s="44" t="s">
        <v>2006</v>
      </c>
      <c r="F12" s="37" t="s">
        <v>1829</v>
      </c>
      <c r="G12" s="37" t="s">
        <v>1125</v>
      </c>
      <c r="H12" s="39" t="s">
        <v>1029</v>
      </c>
      <c r="I12" s="37" t="s">
        <v>1829</v>
      </c>
      <c r="J12" s="38">
        <v>45627.852586655099</v>
      </c>
      <c r="K12" s="37" t="s">
        <v>1810</v>
      </c>
      <c r="L12" s="37" t="s">
        <v>1830</v>
      </c>
      <c r="M12" s="37" t="s">
        <v>1810</v>
      </c>
      <c r="N12" s="37" t="s">
        <v>1810</v>
      </c>
      <c r="O12" s="37" t="s">
        <v>1810</v>
      </c>
      <c r="P12" s="37" t="s">
        <v>1810</v>
      </c>
      <c r="Q12" s="37" t="s">
        <v>1810</v>
      </c>
      <c r="R12" s="41">
        <v>45618</v>
      </c>
      <c r="S12" s="41">
        <v>45626</v>
      </c>
    </row>
    <row r="13" spans="1:19" x14ac:dyDescent="0.35">
      <c r="A13" s="37" t="s">
        <v>1843</v>
      </c>
      <c r="B13" s="37" t="s">
        <v>1825</v>
      </c>
      <c r="C13" s="37" t="s">
        <v>1277</v>
      </c>
      <c r="D13" s="44" t="s">
        <v>2007</v>
      </c>
      <c r="E13" s="44" t="s">
        <v>2006</v>
      </c>
      <c r="F13" s="37" t="s">
        <v>45</v>
      </c>
      <c r="G13" s="37" t="s">
        <v>1125</v>
      </c>
      <c r="H13" s="39" t="s">
        <v>1029</v>
      </c>
      <c r="I13" s="37" t="s">
        <v>1829</v>
      </c>
      <c r="J13" s="38">
        <v>45450.7812971065</v>
      </c>
      <c r="K13" s="37" t="s">
        <v>1810</v>
      </c>
      <c r="L13" s="37" t="s">
        <v>1810</v>
      </c>
      <c r="M13" s="37" t="s">
        <v>1810</v>
      </c>
      <c r="N13" s="37" t="s">
        <v>1810</v>
      </c>
      <c r="O13" s="37" t="s">
        <v>1810</v>
      </c>
      <c r="P13" s="37" t="s">
        <v>1810</v>
      </c>
      <c r="Q13" s="37" t="s">
        <v>1810</v>
      </c>
      <c r="R13" s="41">
        <v>45441</v>
      </c>
      <c r="S13" s="41">
        <v>45450</v>
      </c>
    </row>
    <row r="14" spans="1:19" x14ac:dyDescent="0.35">
      <c r="A14" s="37" t="s">
        <v>1844</v>
      </c>
      <c r="B14" s="37" t="s">
        <v>1828</v>
      </c>
      <c r="C14" s="37" t="s">
        <v>778</v>
      </c>
      <c r="D14" s="44" t="s">
        <v>2002</v>
      </c>
      <c r="E14" s="44" t="s">
        <v>1996</v>
      </c>
      <c r="F14" s="37" t="s">
        <v>1829</v>
      </c>
      <c r="G14" s="37" t="s">
        <v>1808</v>
      </c>
      <c r="H14" s="39" t="s">
        <v>1029</v>
      </c>
      <c r="I14" s="37" t="s">
        <v>1845</v>
      </c>
      <c r="J14" s="38">
        <v>45409.679726041701</v>
      </c>
      <c r="K14" s="37" t="s">
        <v>1810</v>
      </c>
      <c r="L14" s="37" t="s">
        <v>1846</v>
      </c>
      <c r="M14" s="37" t="s">
        <v>1810</v>
      </c>
      <c r="N14" s="37" t="s">
        <v>1846</v>
      </c>
      <c r="O14" s="37" t="s">
        <v>1810</v>
      </c>
      <c r="P14" s="37" t="s">
        <v>1810</v>
      </c>
      <c r="Q14" s="37" t="s">
        <v>1810</v>
      </c>
      <c r="R14" s="41">
        <v>45412</v>
      </c>
      <c r="S14" s="41">
        <v>45412</v>
      </c>
    </row>
    <row r="15" spans="1:19" x14ac:dyDescent="0.35">
      <c r="A15" s="37" t="s">
        <v>1847</v>
      </c>
      <c r="B15" s="37" t="s">
        <v>1825</v>
      </c>
      <c r="C15" s="37" t="s">
        <v>778</v>
      </c>
      <c r="D15" s="44" t="s">
        <v>2002</v>
      </c>
      <c r="E15" s="44" t="s">
        <v>1996</v>
      </c>
      <c r="F15" s="37" t="s">
        <v>974</v>
      </c>
      <c r="G15" s="37" t="s">
        <v>1125</v>
      </c>
      <c r="H15" s="39" t="s">
        <v>1029</v>
      </c>
      <c r="I15" s="37" t="s">
        <v>1829</v>
      </c>
      <c r="J15" s="38">
        <v>45203.660525266198</v>
      </c>
      <c r="K15" s="37" t="s">
        <v>1810</v>
      </c>
      <c r="L15" s="37" t="s">
        <v>1810</v>
      </c>
      <c r="M15" s="37" t="s">
        <v>1810</v>
      </c>
      <c r="N15" s="37" t="s">
        <v>1810</v>
      </c>
      <c r="O15" s="37" t="s">
        <v>1810</v>
      </c>
      <c r="P15" s="37" t="s">
        <v>1810</v>
      </c>
      <c r="Q15" s="37" t="s">
        <v>1810</v>
      </c>
      <c r="R15" s="41">
        <v>45170</v>
      </c>
      <c r="S15" s="41">
        <v>45183</v>
      </c>
    </row>
    <row r="16" spans="1:19" x14ac:dyDescent="0.35">
      <c r="A16" s="37" t="s">
        <v>1848</v>
      </c>
      <c r="B16" s="37" t="s">
        <v>1828</v>
      </c>
      <c r="C16" s="37" t="s">
        <v>1849</v>
      </c>
      <c r="D16" s="44" t="s">
        <v>2016</v>
      </c>
      <c r="E16" s="44" t="s">
        <v>2014</v>
      </c>
      <c r="F16" s="37" t="s">
        <v>1829</v>
      </c>
      <c r="G16" s="37" t="s">
        <v>1125</v>
      </c>
      <c r="H16" s="39" t="s">
        <v>1029</v>
      </c>
      <c r="I16" s="37" t="s">
        <v>1829</v>
      </c>
      <c r="J16" s="38">
        <v>45022.731267280098</v>
      </c>
      <c r="K16" s="37" t="s">
        <v>1810</v>
      </c>
      <c r="L16" s="37" t="s">
        <v>1846</v>
      </c>
      <c r="M16" s="37" t="s">
        <v>1810</v>
      </c>
      <c r="N16" s="37" t="s">
        <v>1810</v>
      </c>
      <c r="O16" s="37" t="s">
        <v>1810</v>
      </c>
      <c r="P16" s="37" t="s">
        <v>1810</v>
      </c>
      <c r="Q16" s="37" t="s">
        <v>1810</v>
      </c>
      <c r="R16" s="41">
        <v>45018</v>
      </c>
      <c r="S16" s="41">
        <v>45020</v>
      </c>
    </row>
  </sheetData>
  <autoFilter ref="A2:S2" xr:uid="{C51CD04B-23AD-42E4-A133-8EAE86D62C9D}"/>
  <hyperlinks>
    <hyperlink ref="C1" location="Summary!A1" display="Back to summary" xr:uid="{25B264DD-4657-40D8-B9D7-CEEC1C713AD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ACB1-AB77-49D6-AAF7-1C617976AE90}">
  <dimension ref="A1:S95"/>
  <sheetViews>
    <sheetView workbookViewId="0">
      <selection activeCell="D1" sqref="D1"/>
    </sheetView>
  </sheetViews>
  <sheetFormatPr defaultRowHeight="14.5" x14ac:dyDescent="0.35"/>
  <cols>
    <col min="3" max="3" width="15.36328125" customWidth="1"/>
    <col min="4" max="4" width="23.36328125" bestFit="1" customWidth="1"/>
    <col min="5" max="5" width="20.54296875" customWidth="1"/>
  </cols>
  <sheetData>
    <row r="1" spans="1:19" x14ac:dyDescent="0.35">
      <c r="D1" s="48" t="s">
        <v>2102</v>
      </c>
    </row>
    <row r="2" spans="1:19" x14ac:dyDescent="0.35">
      <c r="A2" s="36" t="s">
        <v>1793</v>
      </c>
      <c r="B2" s="36" t="s">
        <v>1794</v>
      </c>
      <c r="C2" s="36" t="s">
        <v>4</v>
      </c>
      <c r="D2" s="36" t="s">
        <v>5</v>
      </c>
      <c r="E2" s="36" t="s">
        <v>6</v>
      </c>
      <c r="F2" s="36" t="s">
        <v>1795</v>
      </c>
      <c r="G2" s="36" t="s">
        <v>1017</v>
      </c>
      <c r="H2" s="36" t="s">
        <v>10</v>
      </c>
      <c r="I2" s="36" t="s">
        <v>1796</v>
      </c>
      <c r="J2" s="36" t="s">
        <v>1701</v>
      </c>
      <c r="K2" s="36" t="s">
        <v>1797</v>
      </c>
      <c r="L2" s="36" t="s">
        <v>1798</v>
      </c>
      <c r="M2" s="36" t="s">
        <v>1799</v>
      </c>
      <c r="N2" s="36" t="s">
        <v>1800</v>
      </c>
      <c r="O2" s="36" t="s">
        <v>1801</v>
      </c>
      <c r="P2" s="36" t="s">
        <v>1802</v>
      </c>
      <c r="Q2" s="36" t="s">
        <v>1803</v>
      </c>
      <c r="R2" s="36" t="s">
        <v>1804</v>
      </c>
      <c r="S2" s="36" t="s">
        <v>1805</v>
      </c>
    </row>
    <row r="3" spans="1:19" x14ac:dyDescent="0.35">
      <c r="A3" s="37" t="s">
        <v>1850</v>
      </c>
      <c r="B3" s="37" t="s">
        <v>1851</v>
      </c>
      <c r="C3" s="37" t="s">
        <v>1033</v>
      </c>
      <c r="D3" s="44" t="s">
        <v>1997</v>
      </c>
      <c r="E3" s="44" t="s">
        <v>1996</v>
      </c>
      <c r="F3" s="37" t="s">
        <v>45</v>
      </c>
      <c r="G3" s="37" t="s">
        <v>1125</v>
      </c>
      <c r="H3" s="39" t="s">
        <v>1029</v>
      </c>
      <c r="I3" s="37" t="s">
        <v>1829</v>
      </c>
      <c r="J3" s="38">
        <v>46078.644218090303</v>
      </c>
      <c r="K3" s="37" t="s">
        <v>1810</v>
      </c>
      <c r="L3" s="37" t="s">
        <v>1810</v>
      </c>
      <c r="M3" s="37" t="s">
        <v>1810</v>
      </c>
      <c r="N3" s="37" t="s">
        <v>1810</v>
      </c>
      <c r="O3" s="37" t="s">
        <v>1810</v>
      </c>
      <c r="P3" s="37" t="s">
        <v>1810</v>
      </c>
      <c r="Q3" s="37" t="s">
        <v>1810</v>
      </c>
      <c r="R3" s="41">
        <v>46047</v>
      </c>
      <c r="S3" s="41">
        <v>46053</v>
      </c>
    </row>
    <row r="4" spans="1:19" x14ac:dyDescent="0.35">
      <c r="A4" s="37" t="s">
        <v>1852</v>
      </c>
      <c r="B4" s="37" t="s">
        <v>1853</v>
      </c>
      <c r="C4" s="37" t="s">
        <v>1033</v>
      </c>
      <c r="D4" s="44" t="s">
        <v>1997</v>
      </c>
      <c r="E4" s="44" t="s">
        <v>1996</v>
      </c>
      <c r="F4" s="37" t="s">
        <v>45</v>
      </c>
      <c r="G4" s="37" t="s">
        <v>1125</v>
      </c>
      <c r="H4" s="39" t="s">
        <v>1029</v>
      </c>
      <c r="I4" s="37" t="s">
        <v>1829</v>
      </c>
      <c r="J4" s="38">
        <v>46078.641102465299</v>
      </c>
      <c r="K4" s="37" t="s">
        <v>1810</v>
      </c>
      <c r="L4" s="37" t="s">
        <v>1810</v>
      </c>
      <c r="M4" s="37" t="s">
        <v>1810</v>
      </c>
      <c r="N4" s="37" t="s">
        <v>1810</v>
      </c>
      <c r="O4" s="37" t="s">
        <v>1810</v>
      </c>
      <c r="P4" s="37" t="s">
        <v>1810</v>
      </c>
      <c r="Q4" s="37" t="s">
        <v>1810</v>
      </c>
      <c r="R4" s="41">
        <v>46061</v>
      </c>
      <c r="S4" s="41">
        <v>46067</v>
      </c>
    </row>
    <row r="5" spans="1:19" x14ac:dyDescent="0.35">
      <c r="A5" s="37" t="s">
        <v>1854</v>
      </c>
      <c r="B5" s="37" t="s">
        <v>1855</v>
      </c>
      <c r="C5" s="37" t="s">
        <v>1033</v>
      </c>
      <c r="D5" s="44" t="s">
        <v>1997</v>
      </c>
      <c r="E5" s="44" t="s">
        <v>1996</v>
      </c>
      <c r="F5" s="37" t="s">
        <v>45</v>
      </c>
      <c r="G5" s="37" t="s">
        <v>1125</v>
      </c>
      <c r="H5" s="39" t="s">
        <v>1029</v>
      </c>
      <c r="I5" s="37" t="s">
        <v>1829</v>
      </c>
      <c r="J5" s="38">
        <v>46078.6375020833</v>
      </c>
      <c r="K5" s="37" t="s">
        <v>1810</v>
      </c>
      <c r="L5" s="37" t="s">
        <v>1810</v>
      </c>
      <c r="M5" s="37" t="s">
        <v>1830</v>
      </c>
      <c r="N5" s="37" t="s">
        <v>1810</v>
      </c>
      <c r="O5" s="37" t="s">
        <v>1810</v>
      </c>
      <c r="P5" s="37" t="s">
        <v>1810</v>
      </c>
      <c r="Q5" s="37" t="s">
        <v>1810</v>
      </c>
      <c r="R5" s="41">
        <v>46054</v>
      </c>
      <c r="S5" s="41">
        <v>46060</v>
      </c>
    </row>
    <row r="6" spans="1:19" x14ac:dyDescent="0.35">
      <c r="A6" s="37" t="s">
        <v>1856</v>
      </c>
      <c r="B6" s="37" t="s">
        <v>1857</v>
      </c>
      <c r="C6" s="37" t="s">
        <v>1033</v>
      </c>
      <c r="D6" s="44" t="s">
        <v>1997</v>
      </c>
      <c r="E6" s="44" t="s">
        <v>1996</v>
      </c>
      <c r="F6" s="37" t="s">
        <v>971</v>
      </c>
      <c r="G6" s="37" t="s">
        <v>1125</v>
      </c>
      <c r="H6" s="39" t="s">
        <v>1029</v>
      </c>
      <c r="I6" s="37" t="s">
        <v>1829</v>
      </c>
      <c r="J6" s="38">
        <v>46077.243526041697</v>
      </c>
      <c r="K6" s="37" t="s">
        <v>1810</v>
      </c>
      <c r="L6" s="37" t="s">
        <v>1810</v>
      </c>
      <c r="M6" s="37" t="s">
        <v>1810</v>
      </c>
      <c r="N6" s="37" t="s">
        <v>1810</v>
      </c>
      <c r="O6" s="37" t="s">
        <v>1810</v>
      </c>
      <c r="P6" s="37" t="s">
        <v>1810</v>
      </c>
      <c r="Q6" s="37" t="s">
        <v>1810</v>
      </c>
      <c r="R6" s="41">
        <v>46076</v>
      </c>
      <c r="S6" s="41">
        <v>46076</v>
      </c>
    </row>
    <row r="7" spans="1:19" x14ac:dyDescent="0.35">
      <c r="A7" s="37" t="s">
        <v>1858</v>
      </c>
      <c r="B7" s="37" t="s">
        <v>1859</v>
      </c>
      <c r="C7" s="37" t="s">
        <v>1033</v>
      </c>
      <c r="D7" s="44" t="s">
        <v>1997</v>
      </c>
      <c r="E7" s="44" t="s">
        <v>1996</v>
      </c>
      <c r="F7" s="37" t="s">
        <v>971</v>
      </c>
      <c r="G7" s="37" t="s">
        <v>1125</v>
      </c>
      <c r="H7" s="39" t="s">
        <v>1029</v>
      </c>
      <c r="I7" s="37" t="s">
        <v>1829</v>
      </c>
      <c r="J7" s="38">
        <v>46077.241837303198</v>
      </c>
      <c r="K7" s="37" t="s">
        <v>1810</v>
      </c>
      <c r="L7" s="37" t="s">
        <v>1810</v>
      </c>
      <c r="M7" s="37" t="s">
        <v>1810</v>
      </c>
      <c r="N7" s="37" t="s">
        <v>1810</v>
      </c>
      <c r="O7" s="37" t="s">
        <v>1810</v>
      </c>
      <c r="P7" s="37" t="s">
        <v>1810</v>
      </c>
      <c r="Q7" s="37" t="s">
        <v>1810</v>
      </c>
      <c r="R7" s="41">
        <v>46069</v>
      </c>
      <c r="S7" s="41">
        <v>46069</v>
      </c>
    </row>
    <row r="8" spans="1:19" x14ac:dyDescent="0.35">
      <c r="A8" s="37" t="s">
        <v>1860</v>
      </c>
      <c r="B8" s="37" t="s">
        <v>1861</v>
      </c>
      <c r="C8" s="37" t="s">
        <v>1033</v>
      </c>
      <c r="D8" s="44" t="s">
        <v>1997</v>
      </c>
      <c r="E8" s="44" t="s">
        <v>1996</v>
      </c>
      <c r="F8" s="37" t="s">
        <v>971</v>
      </c>
      <c r="G8" s="37" t="s">
        <v>1125</v>
      </c>
      <c r="H8" s="39" t="s">
        <v>1029</v>
      </c>
      <c r="I8" s="37" t="s">
        <v>1829</v>
      </c>
      <c r="J8" s="38">
        <v>46077.2400239583</v>
      </c>
      <c r="K8" s="37" t="s">
        <v>1810</v>
      </c>
      <c r="L8" s="37" t="s">
        <v>1810</v>
      </c>
      <c r="M8" s="37" t="s">
        <v>1810</v>
      </c>
      <c r="N8" s="37" t="s">
        <v>1810</v>
      </c>
      <c r="O8" s="37" t="s">
        <v>1810</v>
      </c>
      <c r="P8" s="37" t="s">
        <v>1810</v>
      </c>
      <c r="Q8" s="37" t="s">
        <v>1810</v>
      </c>
      <c r="R8" s="41">
        <v>46062</v>
      </c>
      <c r="S8" s="41">
        <v>46062</v>
      </c>
    </row>
    <row r="9" spans="1:19" x14ac:dyDescent="0.35">
      <c r="A9" s="37" t="s">
        <v>1862</v>
      </c>
      <c r="B9" s="37" t="s">
        <v>1863</v>
      </c>
      <c r="C9" s="37" t="s">
        <v>1033</v>
      </c>
      <c r="D9" s="44" t="s">
        <v>1997</v>
      </c>
      <c r="E9" s="44" t="s">
        <v>1996</v>
      </c>
      <c r="F9" s="37" t="s">
        <v>971</v>
      </c>
      <c r="G9" s="37" t="s">
        <v>1125</v>
      </c>
      <c r="H9" s="39" t="s">
        <v>1029</v>
      </c>
      <c r="I9" s="37" t="s">
        <v>1829</v>
      </c>
      <c r="J9" s="38">
        <v>46077.234379317102</v>
      </c>
      <c r="K9" s="37" t="s">
        <v>1810</v>
      </c>
      <c r="L9" s="37" t="s">
        <v>1810</v>
      </c>
      <c r="M9" s="37" t="s">
        <v>1810</v>
      </c>
      <c r="N9" s="37" t="s">
        <v>1810</v>
      </c>
      <c r="O9" s="37" t="s">
        <v>1810</v>
      </c>
      <c r="P9" s="37" t="s">
        <v>1810</v>
      </c>
      <c r="Q9" s="37" t="s">
        <v>1810</v>
      </c>
      <c r="R9" s="41">
        <v>46055</v>
      </c>
      <c r="S9" s="41">
        <v>46055</v>
      </c>
    </row>
    <row r="10" spans="1:19" x14ac:dyDescent="0.35">
      <c r="A10" s="37" t="s">
        <v>1864</v>
      </c>
      <c r="B10" s="37" t="s">
        <v>1855</v>
      </c>
      <c r="C10" s="37" t="s">
        <v>1157</v>
      </c>
      <c r="D10" s="44" t="s">
        <v>1998</v>
      </c>
      <c r="E10" s="44" t="s">
        <v>1999</v>
      </c>
      <c r="F10" s="37" t="s">
        <v>994</v>
      </c>
      <c r="G10" s="37" t="s">
        <v>1125</v>
      </c>
      <c r="H10" s="39" t="s">
        <v>1029</v>
      </c>
      <c r="I10" s="37" t="s">
        <v>1829</v>
      </c>
      <c r="J10" s="38">
        <v>46072.5634714931</v>
      </c>
      <c r="K10" s="37" t="s">
        <v>1810</v>
      </c>
      <c r="L10" s="37" t="s">
        <v>1810</v>
      </c>
      <c r="M10" s="37" t="s">
        <v>1810</v>
      </c>
      <c r="N10" s="37" t="s">
        <v>1810</v>
      </c>
      <c r="O10" s="37" t="s">
        <v>1810</v>
      </c>
      <c r="P10" s="37" t="s">
        <v>1810</v>
      </c>
      <c r="Q10" s="37" t="s">
        <v>1810</v>
      </c>
      <c r="R10" s="41">
        <v>46062</v>
      </c>
      <c r="S10" s="41">
        <v>46067</v>
      </c>
    </row>
    <row r="11" spans="1:19" x14ac:dyDescent="0.35">
      <c r="A11" s="37" t="s">
        <v>1865</v>
      </c>
      <c r="B11" s="37" t="s">
        <v>1866</v>
      </c>
      <c r="C11" s="37" t="s">
        <v>1157</v>
      </c>
      <c r="D11" s="44" t="s">
        <v>1998</v>
      </c>
      <c r="E11" s="44" t="s">
        <v>1999</v>
      </c>
      <c r="F11" s="37" t="s">
        <v>994</v>
      </c>
      <c r="G11" s="37" t="s">
        <v>1867</v>
      </c>
      <c r="H11" s="39" t="s">
        <v>1029</v>
      </c>
      <c r="I11" s="37" t="s">
        <v>1829</v>
      </c>
      <c r="J11" s="38">
        <v>46067.143930243103</v>
      </c>
      <c r="K11" s="37" t="s">
        <v>1810</v>
      </c>
      <c r="L11" s="37" t="s">
        <v>1810</v>
      </c>
      <c r="M11" s="37" t="s">
        <v>1810</v>
      </c>
      <c r="N11" s="37" t="s">
        <v>1810</v>
      </c>
      <c r="O11" s="37" t="s">
        <v>1810</v>
      </c>
      <c r="P11" s="37" t="s">
        <v>1810</v>
      </c>
      <c r="Q11" s="37" t="s">
        <v>1810</v>
      </c>
      <c r="R11" s="41">
        <v>46041</v>
      </c>
      <c r="S11" s="41">
        <v>46047</v>
      </c>
    </row>
    <row r="12" spans="1:19" x14ac:dyDescent="0.35">
      <c r="A12" s="37" t="s">
        <v>1868</v>
      </c>
      <c r="B12" s="37" t="s">
        <v>1869</v>
      </c>
      <c r="C12" s="37" t="s">
        <v>1129</v>
      </c>
      <c r="D12" s="44" t="s">
        <v>2000</v>
      </c>
      <c r="E12" s="44" t="s">
        <v>2001</v>
      </c>
      <c r="F12" s="37" t="s">
        <v>45</v>
      </c>
      <c r="G12" s="37" t="s">
        <v>1712</v>
      </c>
      <c r="H12" s="39" t="s">
        <v>1029</v>
      </c>
      <c r="I12" s="37" t="s">
        <v>1837</v>
      </c>
      <c r="J12" s="38">
        <v>46064.358151701403</v>
      </c>
      <c r="K12" s="37" t="s">
        <v>1810</v>
      </c>
      <c r="L12" s="37" t="s">
        <v>1830</v>
      </c>
      <c r="M12" s="37" t="s">
        <v>1810</v>
      </c>
      <c r="N12" s="37" t="s">
        <v>1810</v>
      </c>
      <c r="O12" s="37" t="s">
        <v>1810</v>
      </c>
      <c r="P12" s="37" t="s">
        <v>1810</v>
      </c>
      <c r="Q12" s="37" t="s">
        <v>1810</v>
      </c>
      <c r="R12" s="41">
        <v>46061</v>
      </c>
      <c r="S12" s="41">
        <v>46061</v>
      </c>
    </row>
    <row r="13" spans="1:19" x14ac:dyDescent="0.35">
      <c r="A13" s="37" t="s">
        <v>1870</v>
      </c>
      <c r="B13" s="37" t="s">
        <v>1871</v>
      </c>
      <c r="C13" s="37" t="s">
        <v>725</v>
      </c>
      <c r="D13" s="44" t="s">
        <v>2002</v>
      </c>
      <c r="E13" s="44" t="s">
        <v>1996</v>
      </c>
      <c r="F13" s="37" t="s">
        <v>45</v>
      </c>
      <c r="G13" s="37" t="s">
        <v>1125</v>
      </c>
      <c r="H13" s="39" t="s">
        <v>1029</v>
      </c>
      <c r="I13" s="37" t="s">
        <v>1829</v>
      </c>
      <c r="J13" s="38">
        <v>46064.106304085602</v>
      </c>
      <c r="K13" s="37" t="s">
        <v>1810</v>
      </c>
      <c r="L13" s="37" t="s">
        <v>1830</v>
      </c>
      <c r="M13" s="37" t="s">
        <v>1810</v>
      </c>
      <c r="N13" s="37" t="s">
        <v>1810</v>
      </c>
      <c r="O13" s="37" t="s">
        <v>1810</v>
      </c>
      <c r="P13" s="37" t="s">
        <v>1810</v>
      </c>
      <c r="Q13" s="37" t="s">
        <v>1810</v>
      </c>
      <c r="R13" s="41">
        <v>46047</v>
      </c>
      <c r="S13" s="41">
        <v>46053</v>
      </c>
    </row>
    <row r="14" spans="1:19" x14ac:dyDescent="0.35">
      <c r="A14" s="37" t="s">
        <v>1872</v>
      </c>
      <c r="B14" s="37" t="s">
        <v>1851</v>
      </c>
      <c r="C14" s="37" t="s">
        <v>725</v>
      </c>
      <c r="D14" s="44" t="s">
        <v>2002</v>
      </c>
      <c r="E14" s="44" t="s">
        <v>1996</v>
      </c>
      <c r="F14" s="37" t="s">
        <v>45</v>
      </c>
      <c r="G14" s="37" t="s">
        <v>1125</v>
      </c>
      <c r="H14" s="39" t="s">
        <v>1029</v>
      </c>
      <c r="I14" s="37" t="s">
        <v>1829</v>
      </c>
      <c r="J14" s="38">
        <v>46064.104507719901</v>
      </c>
      <c r="K14" s="37" t="s">
        <v>1810</v>
      </c>
      <c r="L14" s="37" t="s">
        <v>1810</v>
      </c>
      <c r="M14" s="37" t="s">
        <v>1810</v>
      </c>
      <c r="N14" s="37" t="s">
        <v>1830</v>
      </c>
      <c r="O14" s="37" t="s">
        <v>1810</v>
      </c>
      <c r="P14" s="37" t="s">
        <v>1810</v>
      </c>
      <c r="Q14" s="37" t="s">
        <v>1810</v>
      </c>
      <c r="R14" s="41">
        <v>46040</v>
      </c>
      <c r="S14" s="41">
        <v>46046</v>
      </c>
    </row>
    <row r="15" spans="1:19" x14ac:dyDescent="0.35">
      <c r="A15" s="37" t="s">
        <v>1873</v>
      </c>
      <c r="B15" s="37" t="s">
        <v>1853</v>
      </c>
      <c r="C15" s="37" t="s">
        <v>725</v>
      </c>
      <c r="D15" s="44" t="s">
        <v>2002</v>
      </c>
      <c r="E15" s="44" t="s">
        <v>1996</v>
      </c>
      <c r="F15" s="37" t="s">
        <v>45</v>
      </c>
      <c r="G15" s="37" t="s">
        <v>1125</v>
      </c>
      <c r="H15" s="39" t="s">
        <v>1029</v>
      </c>
      <c r="I15" s="37" t="s">
        <v>1829</v>
      </c>
      <c r="J15" s="38">
        <v>46064.101346030096</v>
      </c>
      <c r="K15" s="37" t="s">
        <v>1810</v>
      </c>
      <c r="L15" s="37" t="s">
        <v>1810</v>
      </c>
      <c r="M15" s="37" t="s">
        <v>1810</v>
      </c>
      <c r="N15" s="37" t="s">
        <v>1830</v>
      </c>
      <c r="O15" s="37" t="s">
        <v>1810</v>
      </c>
      <c r="P15" s="37" t="s">
        <v>1810</v>
      </c>
      <c r="Q15" s="37" t="s">
        <v>1810</v>
      </c>
      <c r="R15" s="41">
        <v>46026</v>
      </c>
      <c r="S15" s="41">
        <v>46032</v>
      </c>
    </row>
    <row r="16" spans="1:19" x14ac:dyDescent="0.35">
      <c r="A16" s="37" t="s">
        <v>1874</v>
      </c>
      <c r="B16" s="37" t="s">
        <v>1875</v>
      </c>
      <c r="C16" s="37" t="s">
        <v>1658</v>
      </c>
      <c r="D16" s="44" t="s">
        <v>2003</v>
      </c>
      <c r="E16" s="44" t="s">
        <v>2004</v>
      </c>
      <c r="F16" s="37" t="s">
        <v>971</v>
      </c>
      <c r="G16" s="37" t="s">
        <v>1808</v>
      </c>
      <c r="H16" s="39" t="s">
        <v>1029</v>
      </c>
      <c r="I16" s="37" t="s">
        <v>1876</v>
      </c>
      <c r="J16" s="38">
        <v>46046.884845868102</v>
      </c>
      <c r="K16" s="37" t="s">
        <v>1810</v>
      </c>
      <c r="L16" s="37" t="s">
        <v>1810</v>
      </c>
      <c r="M16" s="37" t="s">
        <v>1810</v>
      </c>
      <c r="N16" s="37" t="s">
        <v>1810</v>
      </c>
      <c r="O16" s="37" t="s">
        <v>1810</v>
      </c>
      <c r="P16" s="37" t="s">
        <v>1810</v>
      </c>
      <c r="Q16" s="37" t="s">
        <v>1810</v>
      </c>
      <c r="R16" s="41">
        <v>46004</v>
      </c>
      <c r="S16" s="41">
        <v>46004</v>
      </c>
    </row>
    <row r="17" spans="1:19" x14ac:dyDescent="0.35">
      <c r="A17" s="37" t="s">
        <v>1877</v>
      </c>
      <c r="B17" s="37" t="s">
        <v>1878</v>
      </c>
      <c r="C17" s="37" t="s">
        <v>1610</v>
      </c>
      <c r="D17" s="44" t="s">
        <v>2003</v>
      </c>
      <c r="E17" s="44" t="s">
        <v>2004</v>
      </c>
      <c r="F17" s="37" t="s">
        <v>971</v>
      </c>
      <c r="G17" s="37" t="s">
        <v>1808</v>
      </c>
      <c r="H17" s="39" t="s">
        <v>1029</v>
      </c>
      <c r="I17" s="37" t="s">
        <v>1876</v>
      </c>
      <c r="J17" s="38">
        <v>46046.865938229203</v>
      </c>
      <c r="K17" s="37" t="s">
        <v>1810</v>
      </c>
      <c r="L17" s="37" t="s">
        <v>1810</v>
      </c>
      <c r="M17" s="37" t="s">
        <v>1810</v>
      </c>
      <c r="N17" s="37" t="s">
        <v>1830</v>
      </c>
      <c r="O17" s="37" t="s">
        <v>1810</v>
      </c>
      <c r="P17" s="37" t="s">
        <v>1810</v>
      </c>
      <c r="Q17" s="37" t="s">
        <v>1810</v>
      </c>
      <c r="R17" s="41">
        <v>46011</v>
      </c>
      <c r="S17" s="41">
        <v>46011</v>
      </c>
    </row>
    <row r="18" spans="1:19" x14ac:dyDescent="0.35">
      <c r="A18" s="37" t="s">
        <v>1879</v>
      </c>
      <c r="B18" s="37" t="s">
        <v>1880</v>
      </c>
      <c r="C18" s="37" t="s">
        <v>1610</v>
      </c>
      <c r="D18" s="44" t="s">
        <v>2003</v>
      </c>
      <c r="E18" s="44" t="s">
        <v>2004</v>
      </c>
      <c r="F18" s="37" t="s">
        <v>971</v>
      </c>
      <c r="G18" s="37" t="s">
        <v>1808</v>
      </c>
      <c r="H18" s="39" t="s">
        <v>1029</v>
      </c>
      <c r="I18" s="37" t="s">
        <v>1876</v>
      </c>
      <c r="J18" s="38">
        <v>46046.8628383912</v>
      </c>
      <c r="K18" s="37" t="s">
        <v>1810</v>
      </c>
      <c r="L18" s="37" t="s">
        <v>1810</v>
      </c>
      <c r="M18" s="37" t="s">
        <v>1830</v>
      </c>
      <c r="N18" s="37" t="s">
        <v>1810</v>
      </c>
      <c r="O18" s="37" t="s">
        <v>1810</v>
      </c>
      <c r="P18" s="37" t="s">
        <v>1810</v>
      </c>
      <c r="Q18" s="37" t="s">
        <v>1810</v>
      </c>
      <c r="R18" s="41">
        <v>46009</v>
      </c>
      <c r="S18" s="41">
        <v>46009</v>
      </c>
    </row>
    <row r="19" spans="1:19" x14ac:dyDescent="0.35">
      <c r="A19" s="37" t="s">
        <v>1881</v>
      </c>
      <c r="B19" s="37" t="s">
        <v>1882</v>
      </c>
      <c r="C19" s="37" t="s">
        <v>839</v>
      </c>
      <c r="D19" s="44" t="s">
        <v>2005</v>
      </c>
      <c r="E19" s="44" t="s">
        <v>2006</v>
      </c>
      <c r="F19" s="37" t="s">
        <v>45</v>
      </c>
      <c r="G19" s="37" t="s">
        <v>1808</v>
      </c>
      <c r="H19" s="39" t="s">
        <v>1029</v>
      </c>
      <c r="I19" s="37" t="s">
        <v>1883</v>
      </c>
      <c r="J19" s="38">
        <v>46020.266643553201</v>
      </c>
      <c r="K19" s="37" t="s">
        <v>1884</v>
      </c>
      <c r="L19" s="37" t="s">
        <v>1822</v>
      </c>
      <c r="M19" s="37" t="s">
        <v>1810</v>
      </c>
      <c r="N19" s="37" t="s">
        <v>1810</v>
      </c>
      <c r="O19" s="37" t="s">
        <v>1810</v>
      </c>
      <c r="P19" s="37" t="s">
        <v>1810</v>
      </c>
      <c r="Q19" s="37" t="s">
        <v>1810</v>
      </c>
      <c r="R19" s="41">
        <v>45995</v>
      </c>
      <c r="S19" s="41">
        <v>45999</v>
      </c>
    </row>
    <row r="20" spans="1:19" x14ac:dyDescent="0.35">
      <c r="A20" s="37" t="s">
        <v>1885</v>
      </c>
      <c r="B20" s="37" t="s">
        <v>1778</v>
      </c>
      <c r="C20" s="37" t="s">
        <v>1292</v>
      </c>
      <c r="D20" s="44" t="s">
        <v>1997</v>
      </c>
      <c r="E20" s="44" t="s">
        <v>1996</v>
      </c>
      <c r="F20" s="37" t="s">
        <v>45</v>
      </c>
      <c r="G20" s="37" t="s">
        <v>1808</v>
      </c>
      <c r="H20" s="39" t="s">
        <v>1029</v>
      </c>
      <c r="I20" s="37" t="s">
        <v>1777</v>
      </c>
      <c r="J20" s="38">
        <v>45974.474158414298</v>
      </c>
      <c r="K20" s="37" t="s">
        <v>1810</v>
      </c>
      <c r="L20" s="37" t="s">
        <v>1810</v>
      </c>
      <c r="M20" s="37" t="s">
        <v>1810</v>
      </c>
      <c r="N20" s="37" t="s">
        <v>1810</v>
      </c>
      <c r="O20" s="37" t="s">
        <v>1810</v>
      </c>
      <c r="P20" s="37" t="s">
        <v>1810</v>
      </c>
      <c r="Q20" s="37" t="s">
        <v>1810</v>
      </c>
      <c r="R20" s="41">
        <v>45789</v>
      </c>
      <c r="S20" s="41">
        <v>45789</v>
      </c>
    </row>
    <row r="21" spans="1:19" x14ac:dyDescent="0.35">
      <c r="A21" s="37" t="s">
        <v>1886</v>
      </c>
      <c r="B21" s="37" t="s">
        <v>1778</v>
      </c>
      <c r="C21" s="37" t="s">
        <v>1292</v>
      </c>
      <c r="D21" s="44" t="s">
        <v>1997</v>
      </c>
      <c r="E21" s="44" t="s">
        <v>1996</v>
      </c>
      <c r="F21" s="37" t="s">
        <v>45</v>
      </c>
      <c r="G21" s="37" t="s">
        <v>1808</v>
      </c>
      <c r="H21" s="39" t="s">
        <v>1029</v>
      </c>
      <c r="I21" s="37" t="s">
        <v>1777</v>
      </c>
      <c r="J21" s="38">
        <v>45974.464929085603</v>
      </c>
      <c r="K21" s="37" t="s">
        <v>1810</v>
      </c>
      <c r="L21" s="37" t="s">
        <v>1810</v>
      </c>
      <c r="M21" s="37" t="s">
        <v>1810</v>
      </c>
      <c r="N21" s="37" t="s">
        <v>1810</v>
      </c>
      <c r="O21" s="37" t="s">
        <v>1887</v>
      </c>
      <c r="P21" s="37" t="s">
        <v>1810</v>
      </c>
      <c r="Q21" s="37" t="s">
        <v>1810</v>
      </c>
      <c r="R21" s="41">
        <v>45943</v>
      </c>
      <c r="S21" s="41">
        <v>45974</v>
      </c>
    </row>
    <row r="22" spans="1:19" x14ac:dyDescent="0.35">
      <c r="A22" s="37" t="s">
        <v>1888</v>
      </c>
      <c r="B22" s="37" t="s">
        <v>1778</v>
      </c>
      <c r="C22" s="37" t="s">
        <v>732</v>
      </c>
      <c r="D22" s="44" t="s">
        <v>2007</v>
      </c>
      <c r="E22" s="44" t="s">
        <v>2006</v>
      </c>
      <c r="F22" s="37" t="s">
        <v>45</v>
      </c>
      <c r="G22" s="37" t="s">
        <v>1889</v>
      </c>
      <c r="H22" s="39" t="s">
        <v>1029</v>
      </c>
      <c r="I22" s="37" t="s">
        <v>1890</v>
      </c>
      <c r="J22" s="38">
        <v>45974.356554594902</v>
      </c>
      <c r="K22" s="37" t="s">
        <v>1810</v>
      </c>
      <c r="L22" s="37" t="s">
        <v>1810</v>
      </c>
      <c r="M22" s="37" t="s">
        <v>1810</v>
      </c>
      <c r="N22" s="37" t="s">
        <v>1810</v>
      </c>
      <c r="O22" s="37" t="s">
        <v>1891</v>
      </c>
      <c r="P22" s="37" t="s">
        <v>1810</v>
      </c>
      <c r="Q22" s="37" t="s">
        <v>1810</v>
      </c>
      <c r="R22" s="41">
        <v>45949</v>
      </c>
      <c r="S22" s="41">
        <v>45949</v>
      </c>
    </row>
    <row r="23" spans="1:19" x14ac:dyDescent="0.35">
      <c r="A23" s="37" t="s">
        <v>1892</v>
      </c>
      <c r="B23" s="37" t="s">
        <v>1778</v>
      </c>
      <c r="C23" s="37" t="s">
        <v>1292</v>
      </c>
      <c r="D23" s="44" t="s">
        <v>1997</v>
      </c>
      <c r="E23" s="44" t="s">
        <v>1996</v>
      </c>
      <c r="F23" s="37" t="s">
        <v>45</v>
      </c>
      <c r="G23" s="37" t="s">
        <v>1808</v>
      </c>
      <c r="H23" s="39" t="s">
        <v>1029</v>
      </c>
      <c r="I23" s="37" t="s">
        <v>1777</v>
      </c>
      <c r="J23" s="38">
        <v>45974.242457291701</v>
      </c>
      <c r="K23" s="37" t="s">
        <v>1810</v>
      </c>
      <c r="L23" s="37" t="s">
        <v>1810</v>
      </c>
      <c r="M23" s="37" t="s">
        <v>1810</v>
      </c>
      <c r="N23" s="37" t="s">
        <v>1810</v>
      </c>
      <c r="O23" s="37" t="s">
        <v>1810</v>
      </c>
      <c r="P23" s="37" t="s">
        <v>1810</v>
      </c>
      <c r="Q23" s="37" t="s">
        <v>1810</v>
      </c>
      <c r="R23" s="41">
        <v>45867</v>
      </c>
      <c r="S23" s="41">
        <v>45867</v>
      </c>
    </row>
    <row r="24" spans="1:19" x14ac:dyDescent="0.35">
      <c r="A24" s="37" t="s">
        <v>1893</v>
      </c>
      <c r="B24" s="37" t="s">
        <v>1778</v>
      </c>
      <c r="C24" s="37" t="s">
        <v>1894</v>
      </c>
      <c r="D24" s="44" t="s">
        <v>2008</v>
      </c>
      <c r="E24" s="44" t="s">
        <v>1996</v>
      </c>
      <c r="F24" s="37" t="s">
        <v>45</v>
      </c>
      <c r="G24" s="37" t="s">
        <v>1808</v>
      </c>
      <c r="H24" s="39" t="s">
        <v>1029</v>
      </c>
      <c r="I24" s="37" t="s">
        <v>1895</v>
      </c>
      <c r="J24" s="38">
        <v>45972.516632604202</v>
      </c>
      <c r="K24" s="37" t="s">
        <v>1810</v>
      </c>
      <c r="L24" s="37" t="s">
        <v>1810</v>
      </c>
      <c r="M24" s="37" t="s">
        <v>1810</v>
      </c>
      <c r="N24" s="37" t="s">
        <v>1810</v>
      </c>
      <c r="O24" s="37" t="s">
        <v>1896</v>
      </c>
      <c r="P24" s="37" t="s">
        <v>1810</v>
      </c>
      <c r="Q24" s="37" t="s">
        <v>1810</v>
      </c>
      <c r="R24" s="41">
        <v>45879</v>
      </c>
      <c r="S24" s="41">
        <v>45879</v>
      </c>
    </row>
    <row r="25" spans="1:19" x14ac:dyDescent="0.35">
      <c r="A25" s="37" t="s">
        <v>1897</v>
      </c>
      <c r="B25" s="37" t="s">
        <v>1851</v>
      </c>
      <c r="C25" s="37" t="s">
        <v>725</v>
      </c>
      <c r="D25" s="44" t="s">
        <v>2002</v>
      </c>
      <c r="E25" s="44" t="s">
        <v>1996</v>
      </c>
      <c r="F25" s="37" t="s">
        <v>45</v>
      </c>
      <c r="G25" s="37" t="s">
        <v>1125</v>
      </c>
      <c r="H25" s="39" t="s">
        <v>1029</v>
      </c>
      <c r="I25" s="37" t="s">
        <v>1829</v>
      </c>
      <c r="J25" s="38">
        <v>45968.390928437497</v>
      </c>
      <c r="K25" s="37" t="s">
        <v>1810</v>
      </c>
      <c r="L25" s="37" t="s">
        <v>1810</v>
      </c>
      <c r="M25" s="37" t="s">
        <v>1830</v>
      </c>
      <c r="N25" s="37" t="s">
        <v>1810</v>
      </c>
      <c r="O25" s="37" t="s">
        <v>1810</v>
      </c>
      <c r="P25" s="37" t="s">
        <v>1810</v>
      </c>
      <c r="Q25" s="37" t="s">
        <v>1810</v>
      </c>
      <c r="R25" s="41">
        <v>45949</v>
      </c>
      <c r="S25" s="41">
        <v>45955</v>
      </c>
    </row>
    <row r="26" spans="1:19" x14ac:dyDescent="0.35">
      <c r="A26" s="37" t="s">
        <v>1898</v>
      </c>
      <c r="B26" s="37" t="s">
        <v>1853</v>
      </c>
      <c r="C26" s="37" t="s">
        <v>725</v>
      </c>
      <c r="D26" s="44" t="s">
        <v>2002</v>
      </c>
      <c r="E26" s="44" t="s">
        <v>1996</v>
      </c>
      <c r="F26" s="37" t="s">
        <v>45</v>
      </c>
      <c r="G26" s="37" t="s">
        <v>1125</v>
      </c>
      <c r="H26" s="39" t="s">
        <v>1029</v>
      </c>
      <c r="I26" s="37" t="s">
        <v>1829</v>
      </c>
      <c r="J26" s="38">
        <v>45968.385880868103</v>
      </c>
      <c r="K26" s="37" t="s">
        <v>1810</v>
      </c>
      <c r="L26" s="37" t="s">
        <v>1810</v>
      </c>
      <c r="M26" s="37" t="s">
        <v>1810</v>
      </c>
      <c r="N26" s="37" t="s">
        <v>1810</v>
      </c>
      <c r="O26" s="37" t="s">
        <v>1810</v>
      </c>
      <c r="P26" s="37" t="s">
        <v>1830</v>
      </c>
      <c r="Q26" s="37" t="s">
        <v>1810</v>
      </c>
      <c r="R26" s="41">
        <v>45935</v>
      </c>
      <c r="S26" s="41">
        <v>45941</v>
      </c>
    </row>
    <row r="27" spans="1:19" x14ac:dyDescent="0.35">
      <c r="A27" s="37" t="s">
        <v>1899</v>
      </c>
      <c r="B27" s="37" t="s">
        <v>1855</v>
      </c>
      <c r="C27" s="37" t="s">
        <v>725</v>
      </c>
      <c r="D27" s="44" t="s">
        <v>2002</v>
      </c>
      <c r="E27" s="44" t="s">
        <v>1996</v>
      </c>
      <c r="F27" s="37" t="s">
        <v>45</v>
      </c>
      <c r="G27" s="37" t="s">
        <v>1125</v>
      </c>
      <c r="H27" s="39" t="s">
        <v>1029</v>
      </c>
      <c r="I27" s="37" t="s">
        <v>1829</v>
      </c>
      <c r="J27" s="38">
        <v>45968.382702083298</v>
      </c>
      <c r="K27" s="37" t="s">
        <v>1810</v>
      </c>
      <c r="L27" s="37" t="s">
        <v>1810</v>
      </c>
      <c r="M27" s="37" t="s">
        <v>1830</v>
      </c>
      <c r="N27" s="37" t="s">
        <v>1810</v>
      </c>
      <c r="O27" s="37" t="s">
        <v>1810</v>
      </c>
      <c r="P27" s="37" t="s">
        <v>1810</v>
      </c>
      <c r="Q27" s="37" t="s">
        <v>1810</v>
      </c>
      <c r="R27" s="41">
        <v>45928</v>
      </c>
      <c r="S27" s="41">
        <v>45934</v>
      </c>
    </row>
    <row r="28" spans="1:19" x14ac:dyDescent="0.35">
      <c r="A28" s="37" t="s">
        <v>1900</v>
      </c>
      <c r="B28" s="37" t="s">
        <v>1901</v>
      </c>
      <c r="C28" s="37" t="s">
        <v>1287</v>
      </c>
      <c r="D28" s="44" t="s">
        <v>2009</v>
      </c>
      <c r="E28" s="44" t="s">
        <v>2010</v>
      </c>
      <c r="F28" s="37" t="s">
        <v>1902</v>
      </c>
      <c r="G28" s="37" t="s">
        <v>1636</v>
      </c>
      <c r="H28" s="39" t="s">
        <v>1029</v>
      </c>
      <c r="I28" s="37" t="s">
        <v>1903</v>
      </c>
      <c r="J28" s="38">
        <v>45945.408130868098</v>
      </c>
      <c r="K28" s="37" t="s">
        <v>1810</v>
      </c>
      <c r="L28" s="37" t="s">
        <v>1904</v>
      </c>
      <c r="M28" s="37" t="s">
        <v>1810</v>
      </c>
      <c r="N28" s="37" t="s">
        <v>1810</v>
      </c>
      <c r="O28" s="37" t="s">
        <v>1905</v>
      </c>
      <c r="P28" s="37" t="s">
        <v>1810</v>
      </c>
      <c r="Q28" s="37" t="s">
        <v>1810</v>
      </c>
      <c r="R28" s="41">
        <v>45911</v>
      </c>
      <c r="S28" s="41">
        <v>45911</v>
      </c>
    </row>
    <row r="29" spans="1:19" x14ac:dyDescent="0.35">
      <c r="A29" s="37" t="s">
        <v>1906</v>
      </c>
      <c r="B29" s="37" t="s">
        <v>1851</v>
      </c>
      <c r="C29" s="37" t="s">
        <v>725</v>
      </c>
      <c r="D29" s="44" t="s">
        <v>2002</v>
      </c>
      <c r="E29" s="44" t="s">
        <v>1996</v>
      </c>
      <c r="F29" s="37" t="s">
        <v>45</v>
      </c>
      <c r="G29" s="37" t="s">
        <v>1125</v>
      </c>
      <c r="H29" s="39" t="s">
        <v>1029</v>
      </c>
      <c r="I29" s="37" t="s">
        <v>1829</v>
      </c>
      <c r="J29" s="38">
        <v>45944.613093287</v>
      </c>
      <c r="K29" s="37" t="s">
        <v>1810</v>
      </c>
      <c r="L29" s="37" t="s">
        <v>1810</v>
      </c>
      <c r="M29" s="37" t="s">
        <v>1830</v>
      </c>
      <c r="N29" s="37" t="s">
        <v>1810</v>
      </c>
      <c r="O29" s="37" t="s">
        <v>1810</v>
      </c>
      <c r="P29" s="37" t="s">
        <v>1810</v>
      </c>
      <c r="Q29" s="37" t="s">
        <v>1810</v>
      </c>
      <c r="R29" s="41">
        <v>45922</v>
      </c>
      <c r="S29" s="41">
        <v>45928</v>
      </c>
    </row>
    <row r="30" spans="1:19" x14ac:dyDescent="0.35">
      <c r="A30" s="37" t="s">
        <v>1907</v>
      </c>
      <c r="B30" s="37" t="s">
        <v>1853</v>
      </c>
      <c r="C30" s="37" t="s">
        <v>725</v>
      </c>
      <c r="D30" s="44" t="s">
        <v>2002</v>
      </c>
      <c r="E30" s="44" t="s">
        <v>1996</v>
      </c>
      <c r="F30" s="37" t="s">
        <v>45</v>
      </c>
      <c r="G30" s="37" t="s">
        <v>1125</v>
      </c>
      <c r="H30" s="39" t="s">
        <v>1029</v>
      </c>
      <c r="I30" s="37" t="s">
        <v>1829</v>
      </c>
      <c r="J30" s="38">
        <v>45944.609988344899</v>
      </c>
      <c r="K30" s="37" t="s">
        <v>1810</v>
      </c>
      <c r="L30" s="37" t="s">
        <v>1810</v>
      </c>
      <c r="M30" s="37" t="s">
        <v>1830</v>
      </c>
      <c r="N30" s="37" t="s">
        <v>1810</v>
      </c>
      <c r="O30" s="37" t="s">
        <v>1810</v>
      </c>
      <c r="P30" s="37" t="s">
        <v>1810</v>
      </c>
      <c r="Q30" s="37" t="s">
        <v>1810</v>
      </c>
      <c r="R30" s="41">
        <v>45908</v>
      </c>
      <c r="S30" s="41">
        <v>45914</v>
      </c>
    </row>
    <row r="31" spans="1:19" x14ac:dyDescent="0.35">
      <c r="A31" s="37" t="s">
        <v>1908</v>
      </c>
      <c r="B31" s="37" t="s">
        <v>1855</v>
      </c>
      <c r="C31" s="37" t="s">
        <v>725</v>
      </c>
      <c r="D31" s="44" t="s">
        <v>2002</v>
      </c>
      <c r="E31" s="44" t="s">
        <v>1996</v>
      </c>
      <c r="F31" s="37" t="s">
        <v>45</v>
      </c>
      <c r="G31" s="37" t="s">
        <v>1125</v>
      </c>
      <c r="H31" s="39" t="s">
        <v>1029</v>
      </c>
      <c r="I31" s="37" t="s">
        <v>1829</v>
      </c>
      <c r="J31" s="38">
        <v>45944.608141782403</v>
      </c>
      <c r="K31" s="37" t="s">
        <v>1810</v>
      </c>
      <c r="L31" s="37" t="s">
        <v>1810</v>
      </c>
      <c r="M31" s="37" t="s">
        <v>1830</v>
      </c>
      <c r="N31" s="37" t="s">
        <v>1810</v>
      </c>
      <c r="O31" s="37" t="s">
        <v>1810</v>
      </c>
      <c r="P31" s="37" t="s">
        <v>1810</v>
      </c>
      <c r="Q31" s="37" t="s">
        <v>1810</v>
      </c>
      <c r="R31" s="41">
        <v>45901</v>
      </c>
      <c r="S31" s="41">
        <v>45907</v>
      </c>
    </row>
    <row r="32" spans="1:19" x14ac:dyDescent="0.35">
      <c r="A32" s="37" t="s">
        <v>1909</v>
      </c>
      <c r="B32" s="37" t="s">
        <v>1880</v>
      </c>
      <c r="C32" s="37" t="s">
        <v>1033</v>
      </c>
      <c r="D32" s="44" t="s">
        <v>1997</v>
      </c>
      <c r="E32" s="44" t="s">
        <v>1996</v>
      </c>
      <c r="F32" s="37" t="s">
        <v>1829</v>
      </c>
      <c r="G32" s="37" t="s">
        <v>1867</v>
      </c>
      <c r="H32" s="39" t="s">
        <v>1029</v>
      </c>
      <c r="I32" s="37" t="s">
        <v>1829</v>
      </c>
      <c r="J32" s="38">
        <v>45932.169764317099</v>
      </c>
      <c r="K32" s="37" t="s">
        <v>1810</v>
      </c>
      <c r="L32" s="37" t="s">
        <v>1810</v>
      </c>
      <c r="M32" s="37" t="s">
        <v>1810</v>
      </c>
      <c r="N32" s="37" t="s">
        <v>1810</v>
      </c>
      <c r="O32" s="37" t="s">
        <v>1810</v>
      </c>
      <c r="P32" s="37" t="s">
        <v>1810</v>
      </c>
      <c r="Q32" s="37" t="s">
        <v>1810</v>
      </c>
      <c r="R32" s="41">
        <v>45921</v>
      </c>
      <c r="S32" s="41">
        <v>45928</v>
      </c>
    </row>
    <row r="33" spans="1:19" x14ac:dyDescent="0.35">
      <c r="A33" s="37" t="s">
        <v>1910</v>
      </c>
      <c r="B33" s="37" t="s">
        <v>1911</v>
      </c>
      <c r="C33" s="37" t="s">
        <v>725</v>
      </c>
      <c r="D33" s="44" t="s">
        <v>2002</v>
      </c>
      <c r="E33" s="44" t="s">
        <v>1996</v>
      </c>
      <c r="F33" s="37" t="s">
        <v>994</v>
      </c>
      <c r="G33" s="37" t="s">
        <v>1125</v>
      </c>
      <c r="H33" s="39" t="s">
        <v>1029</v>
      </c>
      <c r="I33" s="37" t="s">
        <v>1829</v>
      </c>
      <c r="J33" s="38">
        <v>45911.428437118098</v>
      </c>
      <c r="K33" s="37" t="s">
        <v>1810</v>
      </c>
      <c r="L33" s="37" t="s">
        <v>1830</v>
      </c>
      <c r="M33" s="37" t="s">
        <v>1810</v>
      </c>
      <c r="N33" s="37" t="s">
        <v>1810</v>
      </c>
      <c r="O33" s="37" t="s">
        <v>1810</v>
      </c>
      <c r="P33" s="37" t="s">
        <v>1810</v>
      </c>
      <c r="Q33" s="37" t="s">
        <v>1810</v>
      </c>
      <c r="R33" s="41">
        <v>45871</v>
      </c>
      <c r="S33" s="41">
        <v>45872</v>
      </c>
    </row>
    <row r="34" spans="1:19" x14ac:dyDescent="0.35">
      <c r="A34" s="37" t="s">
        <v>1912</v>
      </c>
      <c r="B34" s="37" t="s">
        <v>1871</v>
      </c>
      <c r="C34" s="37" t="s">
        <v>725</v>
      </c>
      <c r="D34" s="44" t="s">
        <v>2002</v>
      </c>
      <c r="E34" s="44" t="s">
        <v>1996</v>
      </c>
      <c r="F34" s="37" t="s">
        <v>45</v>
      </c>
      <c r="G34" s="37" t="s">
        <v>1125</v>
      </c>
      <c r="H34" s="39" t="s">
        <v>1029</v>
      </c>
      <c r="I34" s="37" t="s">
        <v>1829</v>
      </c>
      <c r="J34" s="38">
        <v>45907.3822302431</v>
      </c>
      <c r="K34" s="37" t="s">
        <v>1810</v>
      </c>
      <c r="L34" s="37" t="s">
        <v>1830</v>
      </c>
      <c r="M34" s="37" t="s">
        <v>1810</v>
      </c>
      <c r="N34" s="37" t="s">
        <v>1810</v>
      </c>
      <c r="O34" s="37" t="s">
        <v>1810</v>
      </c>
      <c r="P34" s="37" t="s">
        <v>1810</v>
      </c>
      <c r="Q34" s="37" t="s">
        <v>1810</v>
      </c>
      <c r="R34" s="41">
        <v>45894</v>
      </c>
      <c r="S34" s="41">
        <v>45900</v>
      </c>
    </row>
    <row r="35" spans="1:19" x14ac:dyDescent="0.35">
      <c r="A35" s="37" t="s">
        <v>1913</v>
      </c>
      <c r="B35" s="37" t="s">
        <v>1851</v>
      </c>
      <c r="C35" s="37" t="s">
        <v>725</v>
      </c>
      <c r="D35" s="44" t="s">
        <v>2002</v>
      </c>
      <c r="E35" s="44" t="s">
        <v>1996</v>
      </c>
      <c r="F35" s="37" t="s">
        <v>45</v>
      </c>
      <c r="G35" s="37" t="s">
        <v>1125</v>
      </c>
      <c r="H35" s="39" t="s">
        <v>1029</v>
      </c>
      <c r="I35" s="37" t="s">
        <v>1829</v>
      </c>
      <c r="J35" s="38">
        <v>45907.379713576403</v>
      </c>
      <c r="K35" s="37" t="s">
        <v>1810</v>
      </c>
      <c r="L35" s="37" t="s">
        <v>1830</v>
      </c>
      <c r="M35" s="37" t="s">
        <v>1810</v>
      </c>
      <c r="N35" s="37" t="s">
        <v>1810</v>
      </c>
      <c r="O35" s="37" t="s">
        <v>1810</v>
      </c>
      <c r="P35" s="37" t="s">
        <v>1810</v>
      </c>
      <c r="Q35" s="37" t="s">
        <v>1810</v>
      </c>
      <c r="R35" s="41">
        <v>45887</v>
      </c>
      <c r="S35" s="41">
        <v>45893</v>
      </c>
    </row>
    <row r="36" spans="1:19" x14ac:dyDescent="0.35">
      <c r="A36" s="37" t="s">
        <v>1914</v>
      </c>
      <c r="B36" s="37" t="s">
        <v>1853</v>
      </c>
      <c r="C36" s="37" t="s">
        <v>725</v>
      </c>
      <c r="D36" s="44" t="s">
        <v>2002</v>
      </c>
      <c r="E36" s="44" t="s">
        <v>1996</v>
      </c>
      <c r="F36" s="37" t="s">
        <v>45</v>
      </c>
      <c r="G36" s="37" t="s">
        <v>1125</v>
      </c>
      <c r="H36" s="39" t="s">
        <v>1029</v>
      </c>
      <c r="I36" s="37" t="s">
        <v>1829</v>
      </c>
      <c r="J36" s="38">
        <v>45907.376069247701</v>
      </c>
      <c r="K36" s="37" t="s">
        <v>1810</v>
      </c>
      <c r="L36" s="37" t="s">
        <v>1830</v>
      </c>
      <c r="M36" s="37" t="s">
        <v>1810</v>
      </c>
      <c r="N36" s="37" t="s">
        <v>1810</v>
      </c>
      <c r="O36" s="37" t="s">
        <v>1810</v>
      </c>
      <c r="P36" s="37" t="s">
        <v>1810</v>
      </c>
      <c r="Q36" s="37" t="s">
        <v>1810</v>
      </c>
      <c r="R36" s="41">
        <v>45873</v>
      </c>
      <c r="S36" s="41">
        <v>45879</v>
      </c>
    </row>
    <row r="37" spans="1:19" x14ac:dyDescent="0.35">
      <c r="A37" s="37" t="s">
        <v>1915</v>
      </c>
      <c r="B37" s="37" t="s">
        <v>1855</v>
      </c>
      <c r="C37" s="37" t="s">
        <v>725</v>
      </c>
      <c r="D37" s="44" t="s">
        <v>2002</v>
      </c>
      <c r="E37" s="44" t="s">
        <v>1996</v>
      </c>
      <c r="F37" s="37" t="s">
        <v>45</v>
      </c>
      <c r="G37" s="37" t="s">
        <v>1125</v>
      </c>
      <c r="H37" s="39" t="s">
        <v>1029</v>
      </c>
      <c r="I37" s="37" t="s">
        <v>1829</v>
      </c>
      <c r="J37" s="38">
        <v>45907.3737618866</v>
      </c>
      <c r="K37" s="37" t="s">
        <v>1810</v>
      </c>
      <c r="L37" s="37" t="s">
        <v>1830</v>
      </c>
      <c r="M37" s="37" t="s">
        <v>1810</v>
      </c>
      <c r="N37" s="37" t="s">
        <v>1810</v>
      </c>
      <c r="O37" s="37" t="s">
        <v>1810</v>
      </c>
      <c r="P37" s="37" t="s">
        <v>1810</v>
      </c>
      <c r="Q37" s="37" t="s">
        <v>1810</v>
      </c>
      <c r="R37" s="41">
        <v>45866</v>
      </c>
      <c r="S37" s="41">
        <v>45872</v>
      </c>
    </row>
    <row r="38" spans="1:19" x14ac:dyDescent="0.35">
      <c r="A38" s="37" t="s">
        <v>1916</v>
      </c>
      <c r="B38" s="37" t="s">
        <v>1871</v>
      </c>
      <c r="C38" s="37" t="s">
        <v>725</v>
      </c>
      <c r="D38" s="44" t="s">
        <v>2002</v>
      </c>
      <c r="E38" s="44" t="s">
        <v>1996</v>
      </c>
      <c r="F38" s="37" t="s">
        <v>45</v>
      </c>
      <c r="G38" s="37" t="s">
        <v>1125</v>
      </c>
      <c r="H38" s="39" t="s">
        <v>1029</v>
      </c>
      <c r="I38" s="37" t="s">
        <v>1829</v>
      </c>
      <c r="J38" s="38">
        <v>45877.566791284698</v>
      </c>
      <c r="K38" s="37" t="s">
        <v>1810</v>
      </c>
      <c r="L38" s="37" t="s">
        <v>1830</v>
      </c>
      <c r="M38" s="37" t="s">
        <v>1810</v>
      </c>
      <c r="N38" s="37" t="s">
        <v>1810</v>
      </c>
      <c r="O38" s="37" t="s">
        <v>1810</v>
      </c>
      <c r="P38" s="37" t="s">
        <v>1810</v>
      </c>
      <c r="Q38" s="37" t="s">
        <v>1810</v>
      </c>
      <c r="R38" s="41">
        <v>45866</v>
      </c>
      <c r="S38" s="41">
        <v>45871</v>
      </c>
    </row>
    <row r="39" spans="1:19" x14ac:dyDescent="0.35">
      <c r="A39" s="37" t="s">
        <v>1917</v>
      </c>
      <c r="B39" s="37" t="s">
        <v>1851</v>
      </c>
      <c r="C39" s="37" t="s">
        <v>725</v>
      </c>
      <c r="D39" s="44" t="s">
        <v>2002</v>
      </c>
      <c r="E39" s="44" t="s">
        <v>1996</v>
      </c>
      <c r="F39" s="37" t="s">
        <v>45</v>
      </c>
      <c r="G39" s="37" t="s">
        <v>1125</v>
      </c>
      <c r="H39" s="39" t="s">
        <v>1029</v>
      </c>
      <c r="I39" s="37" t="s">
        <v>1829</v>
      </c>
      <c r="J39" s="38">
        <v>45877.565146377303</v>
      </c>
      <c r="K39" s="37" t="s">
        <v>1810</v>
      </c>
      <c r="L39" s="37" t="s">
        <v>1830</v>
      </c>
      <c r="M39" s="37" t="s">
        <v>1810</v>
      </c>
      <c r="N39" s="37" t="s">
        <v>1810</v>
      </c>
      <c r="O39" s="37" t="s">
        <v>1810</v>
      </c>
      <c r="P39" s="37" t="s">
        <v>1810</v>
      </c>
      <c r="Q39" s="37" t="s">
        <v>1810</v>
      </c>
      <c r="R39" s="41">
        <v>45859</v>
      </c>
      <c r="S39" s="41">
        <v>45865</v>
      </c>
    </row>
    <row r="40" spans="1:19" x14ac:dyDescent="0.35">
      <c r="A40" s="37" t="s">
        <v>1918</v>
      </c>
      <c r="B40" s="37" t="s">
        <v>1853</v>
      </c>
      <c r="C40" s="37" t="s">
        <v>725</v>
      </c>
      <c r="D40" s="44" t="s">
        <v>2002</v>
      </c>
      <c r="E40" s="44" t="s">
        <v>1996</v>
      </c>
      <c r="F40" s="37" t="s">
        <v>45</v>
      </c>
      <c r="G40" s="37" t="s">
        <v>1125</v>
      </c>
      <c r="H40" s="39" t="s">
        <v>1029</v>
      </c>
      <c r="I40" s="37" t="s">
        <v>1829</v>
      </c>
      <c r="J40" s="38">
        <v>45877.561173726899</v>
      </c>
      <c r="K40" s="37" t="s">
        <v>1810</v>
      </c>
      <c r="L40" s="37" t="s">
        <v>1830</v>
      </c>
      <c r="M40" s="37" t="s">
        <v>1810</v>
      </c>
      <c r="N40" s="37" t="s">
        <v>1810</v>
      </c>
      <c r="O40" s="37" t="s">
        <v>1810</v>
      </c>
      <c r="P40" s="37" t="s">
        <v>1810</v>
      </c>
      <c r="Q40" s="37" t="s">
        <v>1810</v>
      </c>
      <c r="R40" s="41">
        <v>45845</v>
      </c>
      <c r="S40" s="41">
        <v>45851</v>
      </c>
    </row>
    <row r="41" spans="1:19" x14ac:dyDescent="0.35">
      <c r="A41" s="37" t="s">
        <v>1919</v>
      </c>
      <c r="B41" s="37" t="s">
        <v>1855</v>
      </c>
      <c r="C41" s="37" t="s">
        <v>725</v>
      </c>
      <c r="D41" s="44" t="s">
        <v>2002</v>
      </c>
      <c r="E41" s="44" t="s">
        <v>1996</v>
      </c>
      <c r="F41" s="37" t="s">
        <v>994</v>
      </c>
      <c r="G41" s="37" t="s">
        <v>1125</v>
      </c>
      <c r="H41" s="39" t="s">
        <v>1029</v>
      </c>
      <c r="I41" s="37" t="s">
        <v>1829</v>
      </c>
      <c r="J41" s="38">
        <v>45877.558147106502</v>
      </c>
      <c r="K41" s="37" t="s">
        <v>1810</v>
      </c>
      <c r="L41" s="37" t="s">
        <v>1830</v>
      </c>
      <c r="M41" s="37" t="s">
        <v>1810</v>
      </c>
      <c r="N41" s="37" t="s">
        <v>1810</v>
      </c>
      <c r="O41" s="37" t="s">
        <v>1810</v>
      </c>
      <c r="P41" s="37" t="s">
        <v>1810</v>
      </c>
      <c r="Q41" s="37" t="s">
        <v>1810</v>
      </c>
      <c r="R41" s="41">
        <v>45838</v>
      </c>
      <c r="S41" s="41">
        <v>45843</v>
      </c>
    </row>
    <row r="42" spans="1:19" x14ac:dyDescent="0.35">
      <c r="A42" s="37" t="s">
        <v>1920</v>
      </c>
      <c r="B42" s="37" t="s">
        <v>1921</v>
      </c>
      <c r="C42" s="37" t="s">
        <v>725</v>
      </c>
      <c r="D42" s="44" t="s">
        <v>2002</v>
      </c>
      <c r="E42" s="44" t="s">
        <v>1996</v>
      </c>
      <c r="F42" s="37" t="s">
        <v>994</v>
      </c>
      <c r="G42" s="37" t="s">
        <v>1125</v>
      </c>
      <c r="H42" s="39" t="s">
        <v>1029</v>
      </c>
      <c r="I42" s="37" t="s">
        <v>1829</v>
      </c>
      <c r="J42" s="38">
        <v>45871.744965127298</v>
      </c>
      <c r="K42" s="37" t="s">
        <v>1810</v>
      </c>
      <c r="L42" s="37" t="s">
        <v>1810</v>
      </c>
      <c r="M42" s="37" t="s">
        <v>1810</v>
      </c>
      <c r="N42" s="37" t="s">
        <v>1810</v>
      </c>
      <c r="O42" s="37" t="s">
        <v>1810</v>
      </c>
      <c r="P42" s="37" t="s">
        <v>1810</v>
      </c>
      <c r="Q42" s="37" t="s">
        <v>1810</v>
      </c>
      <c r="R42" s="41">
        <v>45871</v>
      </c>
      <c r="S42" s="41">
        <v>45871</v>
      </c>
    </row>
    <row r="43" spans="1:19" x14ac:dyDescent="0.35">
      <c r="A43" s="37" t="s">
        <v>1922</v>
      </c>
      <c r="B43" s="37" t="s">
        <v>1923</v>
      </c>
      <c r="C43" s="37" t="s">
        <v>725</v>
      </c>
      <c r="D43" s="44" t="s">
        <v>2002</v>
      </c>
      <c r="E43" s="44" t="s">
        <v>1996</v>
      </c>
      <c r="F43" s="37" t="s">
        <v>994</v>
      </c>
      <c r="G43" s="37" t="s">
        <v>1125</v>
      </c>
      <c r="H43" s="39" t="s">
        <v>1029</v>
      </c>
      <c r="I43" s="37" t="s">
        <v>1829</v>
      </c>
      <c r="J43" s="38">
        <v>45871.743649999997</v>
      </c>
      <c r="K43" s="37" t="s">
        <v>1810</v>
      </c>
      <c r="L43" s="37" t="s">
        <v>1810</v>
      </c>
      <c r="M43" s="37" t="s">
        <v>1810</v>
      </c>
      <c r="N43" s="37" t="s">
        <v>1810</v>
      </c>
      <c r="O43" s="37" t="s">
        <v>1810</v>
      </c>
      <c r="P43" s="37" t="s">
        <v>1810</v>
      </c>
      <c r="Q43" s="37" t="s">
        <v>1810</v>
      </c>
      <c r="R43" s="41">
        <v>45864</v>
      </c>
      <c r="S43" s="41">
        <v>45864</v>
      </c>
    </row>
    <row r="44" spans="1:19" x14ac:dyDescent="0.35">
      <c r="A44" s="37" t="s">
        <v>1924</v>
      </c>
      <c r="B44" s="37" t="s">
        <v>1857</v>
      </c>
      <c r="C44" s="37" t="s">
        <v>725</v>
      </c>
      <c r="D44" s="44" t="s">
        <v>2002</v>
      </c>
      <c r="E44" s="44" t="s">
        <v>1996</v>
      </c>
      <c r="F44" s="37" t="s">
        <v>994</v>
      </c>
      <c r="G44" s="37" t="s">
        <v>1125</v>
      </c>
      <c r="H44" s="39" t="s">
        <v>1029</v>
      </c>
      <c r="I44" s="37" t="s">
        <v>1829</v>
      </c>
      <c r="J44" s="38">
        <v>45871.7422036227</v>
      </c>
      <c r="K44" s="37" t="s">
        <v>1810</v>
      </c>
      <c r="L44" s="37" t="s">
        <v>1810</v>
      </c>
      <c r="M44" s="37" t="s">
        <v>1810</v>
      </c>
      <c r="N44" s="37" t="s">
        <v>1810</v>
      </c>
      <c r="O44" s="37" t="s">
        <v>1810</v>
      </c>
      <c r="P44" s="37" t="s">
        <v>1810</v>
      </c>
      <c r="Q44" s="37" t="s">
        <v>1810</v>
      </c>
      <c r="R44" s="41">
        <v>45857</v>
      </c>
      <c r="S44" s="41">
        <v>45857</v>
      </c>
    </row>
    <row r="45" spans="1:19" x14ac:dyDescent="0.35">
      <c r="A45" s="37" t="s">
        <v>1925</v>
      </c>
      <c r="B45" s="37" t="s">
        <v>1859</v>
      </c>
      <c r="C45" s="37" t="s">
        <v>725</v>
      </c>
      <c r="D45" s="44" t="s">
        <v>2002</v>
      </c>
      <c r="E45" s="44" t="s">
        <v>1996</v>
      </c>
      <c r="F45" s="37" t="s">
        <v>994</v>
      </c>
      <c r="G45" s="37" t="s">
        <v>1125</v>
      </c>
      <c r="H45" s="39" t="s">
        <v>1029</v>
      </c>
      <c r="I45" s="37" t="s">
        <v>1829</v>
      </c>
      <c r="J45" s="38">
        <v>45871.740701157403</v>
      </c>
      <c r="K45" s="37" t="s">
        <v>1810</v>
      </c>
      <c r="L45" s="37" t="s">
        <v>1810</v>
      </c>
      <c r="M45" s="37" t="s">
        <v>1810</v>
      </c>
      <c r="N45" s="37" t="s">
        <v>1810</v>
      </c>
      <c r="O45" s="37" t="s">
        <v>1810</v>
      </c>
      <c r="P45" s="37" t="s">
        <v>1810</v>
      </c>
      <c r="Q45" s="37" t="s">
        <v>1810</v>
      </c>
      <c r="R45" s="41">
        <v>45850</v>
      </c>
      <c r="S45" s="41">
        <v>45850</v>
      </c>
    </row>
    <row r="46" spans="1:19" x14ac:dyDescent="0.35">
      <c r="A46" s="37" t="s">
        <v>1926</v>
      </c>
      <c r="B46" s="37" t="s">
        <v>1861</v>
      </c>
      <c r="C46" s="37" t="s">
        <v>725</v>
      </c>
      <c r="D46" s="44" t="s">
        <v>2002</v>
      </c>
      <c r="E46" s="44" t="s">
        <v>1996</v>
      </c>
      <c r="F46" s="37" t="s">
        <v>994</v>
      </c>
      <c r="G46" s="37" t="s">
        <v>1125</v>
      </c>
      <c r="H46" s="39" t="s">
        <v>1029</v>
      </c>
      <c r="I46" s="37" t="s">
        <v>1829</v>
      </c>
      <c r="J46" s="38">
        <v>45871.738076076399</v>
      </c>
      <c r="K46" s="37" t="s">
        <v>1810</v>
      </c>
      <c r="L46" s="37" t="s">
        <v>1810</v>
      </c>
      <c r="M46" s="37" t="s">
        <v>1810</v>
      </c>
      <c r="N46" s="37" t="s">
        <v>1810</v>
      </c>
      <c r="O46" s="37" t="s">
        <v>1810</v>
      </c>
      <c r="P46" s="37" t="s">
        <v>1810</v>
      </c>
      <c r="Q46" s="37" t="s">
        <v>1810</v>
      </c>
      <c r="R46" s="41">
        <v>45843</v>
      </c>
      <c r="S46" s="41">
        <v>45843</v>
      </c>
    </row>
    <row r="47" spans="1:19" x14ac:dyDescent="0.35">
      <c r="A47" s="37" t="s">
        <v>1927</v>
      </c>
      <c r="B47" s="37" t="s">
        <v>1863</v>
      </c>
      <c r="C47" s="37" t="s">
        <v>725</v>
      </c>
      <c r="D47" s="44" t="s">
        <v>2002</v>
      </c>
      <c r="E47" s="44" t="s">
        <v>1996</v>
      </c>
      <c r="F47" s="37" t="s">
        <v>994</v>
      </c>
      <c r="G47" s="37" t="s">
        <v>1125</v>
      </c>
      <c r="H47" s="39" t="s">
        <v>1029</v>
      </c>
      <c r="I47" s="37" t="s">
        <v>1829</v>
      </c>
      <c r="J47" s="38">
        <v>45871.7368144676</v>
      </c>
      <c r="K47" s="37" t="s">
        <v>1810</v>
      </c>
      <c r="L47" s="37" t="s">
        <v>1810</v>
      </c>
      <c r="M47" s="37" t="s">
        <v>1810</v>
      </c>
      <c r="N47" s="37" t="s">
        <v>1810</v>
      </c>
      <c r="O47" s="37" t="s">
        <v>1810</v>
      </c>
      <c r="P47" s="37" t="s">
        <v>1810</v>
      </c>
      <c r="Q47" s="37" t="s">
        <v>1810</v>
      </c>
      <c r="R47" s="41">
        <v>45836</v>
      </c>
      <c r="S47" s="41">
        <v>45836</v>
      </c>
    </row>
    <row r="48" spans="1:19" x14ac:dyDescent="0.35">
      <c r="A48" s="37" t="s">
        <v>1928</v>
      </c>
      <c r="B48" s="37" t="s">
        <v>1929</v>
      </c>
      <c r="C48" s="37" t="s">
        <v>725</v>
      </c>
      <c r="D48" s="44" t="s">
        <v>2002</v>
      </c>
      <c r="E48" s="44" t="s">
        <v>1996</v>
      </c>
      <c r="F48" s="37" t="s">
        <v>994</v>
      </c>
      <c r="G48" s="37" t="s">
        <v>1125</v>
      </c>
      <c r="H48" s="39" t="s">
        <v>1029</v>
      </c>
      <c r="I48" s="37" t="s">
        <v>1829</v>
      </c>
      <c r="J48" s="38">
        <v>45871.735189548599</v>
      </c>
      <c r="K48" s="37" t="s">
        <v>1810</v>
      </c>
      <c r="L48" s="37" t="s">
        <v>1810</v>
      </c>
      <c r="M48" s="37" t="s">
        <v>1810</v>
      </c>
      <c r="N48" s="37" t="s">
        <v>1810</v>
      </c>
      <c r="O48" s="37" t="s">
        <v>1810</v>
      </c>
      <c r="P48" s="37" t="s">
        <v>1810</v>
      </c>
      <c r="Q48" s="37" t="s">
        <v>1810</v>
      </c>
      <c r="R48" s="41">
        <v>45829</v>
      </c>
      <c r="S48" s="41">
        <v>45829</v>
      </c>
    </row>
    <row r="49" spans="1:19" x14ac:dyDescent="0.35">
      <c r="A49" s="37" t="s">
        <v>1930</v>
      </c>
      <c r="B49" s="37" t="s">
        <v>1931</v>
      </c>
      <c r="C49" s="37" t="s">
        <v>725</v>
      </c>
      <c r="D49" s="44" t="s">
        <v>2002</v>
      </c>
      <c r="E49" s="44" t="s">
        <v>1996</v>
      </c>
      <c r="F49" s="37" t="s">
        <v>994</v>
      </c>
      <c r="G49" s="37" t="s">
        <v>1125</v>
      </c>
      <c r="H49" s="39" t="s">
        <v>1029</v>
      </c>
      <c r="I49" s="37" t="s">
        <v>1829</v>
      </c>
      <c r="J49" s="38">
        <v>45871.730776539298</v>
      </c>
      <c r="K49" s="37" t="s">
        <v>1810</v>
      </c>
      <c r="L49" s="37" t="s">
        <v>1810</v>
      </c>
      <c r="M49" s="37" t="s">
        <v>1810</v>
      </c>
      <c r="N49" s="37" t="s">
        <v>1810</v>
      </c>
      <c r="O49" s="37" t="s">
        <v>1810</v>
      </c>
      <c r="P49" s="37" t="s">
        <v>1810</v>
      </c>
      <c r="Q49" s="37" t="s">
        <v>1810</v>
      </c>
      <c r="R49" s="41">
        <v>45822</v>
      </c>
      <c r="S49" s="41">
        <v>45822</v>
      </c>
    </row>
    <row r="50" spans="1:19" x14ac:dyDescent="0.35">
      <c r="A50" s="37" t="s">
        <v>1932</v>
      </c>
      <c r="B50" s="37" t="s">
        <v>1933</v>
      </c>
      <c r="C50" s="37" t="s">
        <v>725</v>
      </c>
      <c r="D50" s="44" t="s">
        <v>2002</v>
      </c>
      <c r="E50" s="44" t="s">
        <v>1996</v>
      </c>
      <c r="F50" s="37" t="s">
        <v>994</v>
      </c>
      <c r="G50" s="37" t="s">
        <v>1125</v>
      </c>
      <c r="H50" s="39" t="s">
        <v>1029</v>
      </c>
      <c r="I50" s="37" t="s">
        <v>1829</v>
      </c>
      <c r="J50" s="38">
        <v>45871.614394444397</v>
      </c>
      <c r="K50" s="37" t="s">
        <v>1810</v>
      </c>
      <c r="L50" s="37" t="s">
        <v>1810</v>
      </c>
      <c r="M50" s="37" t="s">
        <v>1810</v>
      </c>
      <c r="N50" s="37" t="s">
        <v>1810</v>
      </c>
      <c r="O50" s="37" t="s">
        <v>1810</v>
      </c>
      <c r="P50" s="37" t="s">
        <v>1810</v>
      </c>
      <c r="Q50" s="37" t="s">
        <v>1810</v>
      </c>
      <c r="R50" s="41">
        <v>45815</v>
      </c>
      <c r="S50" s="41">
        <v>45815</v>
      </c>
    </row>
    <row r="51" spans="1:19" x14ac:dyDescent="0.35">
      <c r="A51" s="37" t="s">
        <v>1934</v>
      </c>
      <c r="B51" s="37" t="s">
        <v>1855</v>
      </c>
      <c r="C51" s="37" t="s">
        <v>725</v>
      </c>
      <c r="D51" s="44" t="s">
        <v>2002</v>
      </c>
      <c r="E51" s="44" t="s">
        <v>1996</v>
      </c>
      <c r="F51" s="37" t="s">
        <v>974</v>
      </c>
      <c r="G51" s="37" t="s">
        <v>1125</v>
      </c>
      <c r="H51" s="39" t="s">
        <v>1029</v>
      </c>
      <c r="I51" s="37" t="s">
        <v>1829</v>
      </c>
      <c r="J51" s="38">
        <v>45850.558634062501</v>
      </c>
      <c r="K51" s="37" t="s">
        <v>1810</v>
      </c>
      <c r="L51" s="37" t="s">
        <v>1810</v>
      </c>
      <c r="M51" s="37" t="s">
        <v>1810</v>
      </c>
      <c r="N51" s="37" t="s">
        <v>1810</v>
      </c>
      <c r="O51" s="37" t="s">
        <v>1810</v>
      </c>
      <c r="P51" s="37" t="s">
        <v>1810</v>
      </c>
      <c r="Q51" s="37" t="s">
        <v>1810</v>
      </c>
      <c r="R51" s="41">
        <v>45809</v>
      </c>
      <c r="S51" s="41">
        <v>45815</v>
      </c>
    </row>
    <row r="52" spans="1:19" x14ac:dyDescent="0.35">
      <c r="A52" s="37" t="s">
        <v>1935</v>
      </c>
      <c r="B52" s="37" t="s">
        <v>1936</v>
      </c>
      <c r="C52" s="37" t="s">
        <v>725</v>
      </c>
      <c r="D52" s="44" t="s">
        <v>2002</v>
      </c>
      <c r="E52" s="44" t="s">
        <v>1996</v>
      </c>
      <c r="F52" s="37" t="s">
        <v>1937</v>
      </c>
      <c r="G52" s="37" t="s">
        <v>1125</v>
      </c>
      <c r="H52" s="39" t="s">
        <v>1029</v>
      </c>
      <c r="I52" s="37" t="s">
        <v>1829</v>
      </c>
      <c r="J52" s="38">
        <v>45827.021819907401</v>
      </c>
      <c r="K52" s="37" t="s">
        <v>1810</v>
      </c>
      <c r="L52" s="37" t="s">
        <v>1810</v>
      </c>
      <c r="M52" s="37" t="s">
        <v>1810</v>
      </c>
      <c r="N52" s="37" t="s">
        <v>1810</v>
      </c>
      <c r="O52" s="37" t="s">
        <v>1810</v>
      </c>
      <c r="P52" s="37" t="s">
        <v>1810</v>
      </c>
      <c r="Q52" s="37" t="s">
        <v>1810</v>
      </c>
      <c r="R52" s="41">
        <v>45826</v>
      </c>
      <c r="S52" s="41">
        <v>45826</v>
      </c>
    </row>
    <row r="53" spans="1:19" x14ac:dyDescent="0.35">
      <c r="A53" s="37" t="s">
        <v>1938</v>
      </c>
      <c r="B53" s="37" t="s">
        <v>1878</v>
      </c>
      <c r="C53" s="37" t="s">
        <v>725</v>
      </c>
      <c r="D53" s="44" t="s">
        <v>2002</v>
      </c>
      <c r="E53" s="44" t="s">
        <v>1996</v>
      </c>
      <c r="F53" s="37" t="s">
        <v>1829</v>
      </c>
      <c r="G53" s="37" t="s">
        <v>1125</v>
      </c>
      <c r="H53" s="39" t="s">
        <v>1029</v>
      </c>
      <c r="I53" s="37" t="s">
        <v>1829</v>
      </c>
      <c r="J53" s="38">
        <v>45813.3072691782</v>
      </c>
      <c r="K53" s="37" t="s">
        <v>1810</v>
      </c>
      <c r="L53" s="37" t="s">
        <v>1810</v>
      </c>
      <c r="M53" s="37" t="s">
        <v>1810</v>
      </c>
      <c r="N53" s="37" t="s">
        <v>1810</v>
      </c>
      <c r="O53" s="37" t="s">
        <v>1810</v>
      </c>
      <c r="P53" s="37" t="s">
        <v>1810</v>
      </c>
      <c r="Q53" s="37" t="s">
        <v>1810</v>
      </c>
      <c r="R53" s="41">
        <v>45808</v>
      </c>
      <c r="S53" s="41">
        <v>45808</v>
      </c>
    </row>
    <row r="54" spans="1:19" x14ac:dyDescent="0.35">
      <c r="A54" s="37" t="s">
        <v>1939</v>
      </c>
      <c r="B54" s="37" t="s">
        <v>1871</v>
      </c>
      <c r="C54" s="37" t="s">
        <v>725</v>
      </c>
      <c r="D54" s="44" t="s">
        <v>2002</v>
      </c>
      <c r="E54" s="44" t="s">
        <v>1996</v>
      </c>
      <c r="F54" s="37" t="s">
        <v>45</v>
      </c>
      <c r="G54" s="37" t="s">
        <v>1125</v>
      </c>
      <c r="H54" s="39" t="s">
        <v>1029</v>
      </c>
      <c r="I54" s="37" t="s">
        <v>1829</v>
      </c>
      <c r="J54" s="38">
        <v>45810.612690891197</v>
      </c>
      <c r="K54" s="37" t="s">
        <v>1810</v>
      </c>
      <c r="L54" s="37" t="s">
        <v>1830</v>
      </c>
      <c r="M54" s="37" t="s">
        <v>1810</v>
      </c>
      <c r="N54" s="37" t="s">
        <v>1810</v>
      </c>
      <c r="O54" s="37" t="s">
        <v>1810</v>
      </c>
      <c r="P54" s="37" t="s">
        <v>1810</v>
      </c>
      <c r="Q54" s="37" t="s">
        <v>1810</v>
      </c>
      <c r="R54" s="41">
        <v>45802</v>
      </c>
      <c r="S54" s="41">
        <v>45809</v>
      </c>
    </row>
    <row r="55" spans="1:19" x14ac:dyDescent="0.35">
      <c r="A55" s="37" t="s">
        <v>1940</v>
      </c>
      <c r="B55" s="37" t="s">
        <v>1851</v>
      </c>
      <c r="C55" s="37" t="s">
        <v>725</v>
      </c>
      <c r="D55" s="44" t="s">
        <v>2002</v>
      </c>
      <c r="E55" s="44" t="s">
        <v>1996</v>
      </c>
      <c r="F55" s="37" t="s">
        <v>45</v>
      </c>
      <c r="G55" s="37" t="s">
        <v>1125</v>
      </c>
      <c r="H55" s="39" t="s">
        <v>1029</v>
      </c>
      <c r="I55" s="37" t="s">
        <v>1829</v>
      </c>
      <c r="J55" s="38">
        <v>45810.610741747703</v>
      </c>
      <c r="K55" s="37" t="s">
        <v>1810</v>
      </c>
      <c r="L55" s="37" t="s">
        <v>1830</v>
      </c>
      <c r="M55" s="37" t="s">
        <v>1810</v>
      </c>
      <c r="N55" s="37" t="s">
        <v>1810</v>
      </c>
      <c r="O55" s="37" t="s">
        <v>1810</v>
      </c>
      <c r="P55" s="37" t="s">
        <v>1810</v>
      </c>
      <c r="Q55" s="37" t="s">
        <v>1810</v>
      </c>
      <c r="R55" s="41">
        <v>45795</v>
      </c>
      <c r="S55" s="41">
        <v>45801</v>
      </c>
    </row>
    <row r="56" spans="1:19" x14ac:dyDescent="0.35">
      <c r="A56" s="37" t="s">
        <v>1941</v>
      </c>
      <c r="B56" s="37" t="s">
        <v>1853</v>
      </c>
      <c r="C56" s="37" t="s">
        <v>725</v>
      </c>
      <c r="D56" s="44" t="s">
        <v>2002</v>
      </c>
      <c r="E56" s="44" t="s">
        <v>1996</v>
      </c>
      <c r="F56" s="37" t="s">
        <v>45</v>
      </c>
      <c r="G56" s="37" t="s">
        <v>1125</v>
      </c>
      <c r="H56" s="39" t="s">
        <v>1029</v>
      </c>
      <c r="I56" s="37" t="s">
        <v>1829</v>
      </c>
      <c r="J56" s="38">
        <v>45810.593239548602</v>
      </c>
      <c r="K56" s="37" t="s">
        <v>1810</v>
      </c>
      <c r="L56" s="37" t="s">
        <v>1830</v>
      </c>
      <c r="M56" s="37" t="s">
        <v>1810</v>
      </c>
      <c r="N56" s="37" t="s">
        <v>1810</v>
      </c>
      <c r="O56" s="37" t="s">
        <v>1810</v>
      </c>
      <c r="P56" s="37" t="s">
        <v>1810</v>
      </c>
      <c r="Q56" s="37" t="s">
        <v>1810</v>
      </c>
      <c r="R56" s="41">
        <v>45781</v>
      </c>
      <c r="S56" s="41">
        <v>45787</v>
      </c>
    </row>
    <row r="57" spans="1:19" x14ac:dyDescent="0.35">
      <c r="A57" s="37" t="s">
        <v>1942</v>
      </c>
      <c r="B57" s="37" t="s">
        <v>1855</v>
      </c>
      <c r="C57" s="37" t="s">
        <v>725</v>
      </c>
      <c r="D57" s="44" t="s">
        <v>2002</v>
      </c>
      <c r="E57" s="44" t="s">
        <v>1996</v>
      </c>
      <c r="F57" s="37" t="s">
        <v>974</v>
      </c>
      <c r="G57" s="37" t="s">
        <v>1125</v>
      </c>
      <c r="H57" s="39" t="s">
        <v>1029</v>
      </c>
      <c r="I57" s="37" t="s">
        <v>1829</v>
      </c>
      <c r="J57" s="38">
        <v>45810.586251122702</v>
      </c>
      <c r="K57" s="37" t="s">
        <v>1810</v>
      </c>
      <c r="L57" s="37" t="s">
        <v>1830</v>
      </c>
      <c r="M57" s="37" t="s">
        <v>1810</v>
      </c>
      <c r="N57" s="37" t="s">
        <v>1810</v>
      </c>
      <c r="O57" s="37" t="s">
        <v>1810</v>
      </c>
      <c r="P57" s="37" t="s">
        <v>1810</v>
      </c>
      <c r="Q57" s="37" t="s">
        <v>1810</v>
      </c>
      <c r="R57" s="41">
        <v>45775</v>
      </c>
      <c r="S57" s="41">
        <v>45780</v>
      </c>
    </row>
    <row r="58" spans="1:19" x14ac:dyDescent="0.35">
      <c r="A58" s="37" t="s">
        <v>1943</v>
      </c>
      <c r="B58" s="37" t="s">
        <v>1911</v>
      </c>
      <c r="C58" s="37" t="s">
        <v>725</v>
      </c>
      <c r="D58" s="44" t="s">
        <v>2002</v>
      </c>
      <c r="E58" s="44" t="s">
        <v>1996</v>
      </c>
      <c r="F58" s="37" t="s">
        <v>994</v>
      </c>
      <c r="G58" s="37" t="s">
        <v>1125</v>
      </c>
      <c r="H58" s="39" t="s">
        <v>1029</v>
      </c>
      <c r="I58" s="37" t="s">
        <v>1829</v>
      </c>
      <c r="J58" s="38">
        <v>45803.1815859954</v>
      </c>
      <c r="K58" s="37" t="s">
        <v>1810</v>
      </c>
      <c r="L58" s="37" t="s">
        <v>1810</v>
      </c>
      <c r="M58" s="37" t="s">
        <v>1810</v>
      </c>
      <c r="N58" s="37" t="s">
        <v>1810</v>
      </c>
      <c r="O58" s="37" t="s">
        <v>1810</v>
      </c>
      <c r="P58" s="37" t="s">
        <v>1810</v>
      </c>
      <c r="Q58" s="37" t="s">
        <v>1810</v>
      </c>
      <c r="R58" s="41">
        <v>45794</v>
      </c>
      <c r="S58" s="41">
        <v>45794</v>
      </c>
    </row>
    <row r="59" spans="1:19" x14ac:dyDescent="0.35">
      <c r="A59" s="37" t="s">
        <v>1944</v>
      </c>
      <c r="B59" s="37" t="s">
        <v>1880</v>
      </c>
      <c r="C59" s="37" t="s">
        <v>725</v>
      </c>
      <c r="D59" s="44" t="s">
        <v>2002</v>
      </c>
      <c r="E59" s="44" t="s">
        <v>1996</v>
      </c>
      <c r="F59" s="37" t="s">
        <v>971</v>
      </c>
      <c r="G59" s="37" t="s">
        <v>1125</v>
      </c>
      <c r="H59" s="39" t="s">
        <v>1029</v>
      </c>
      <c r="I59" s="37" t="s">
        <v>1829</v>
      </c>
      <c r="J59" s="38">
        <v>45803.181235798598</v>
      </c>
      <c r="K59" s="37" t="s">
        <v>1810</v>
      </c>
      <c r="L59" s="37" t="s">
        <v>1810</v>
      </c>
      <c r="M59" s="37" t="s">
        <v>1810</v>
      </c>
      <c r="N59" s="37" t="s">
        <v>1810</v>
      </c>
      <c r="O59" s="37" t="s">
        <v>1810</v>
      </c>
      <c r="P59" s="37" t="s">
        <v>1810</v>
      </c>
      <c r="Q59" s="37" t="s">
        <v>1810</v>
      </c>
      <c r="R59" s="41">
        <v>45801</v>
      </c>
      <c r="S59" s="41">
        <v>45801</v>
      </c>
    </row>
    <row r="60" spans="1:19" x14ac:dyDescent="0.35">
      <c r="A60" s="37" t="s">
        <v>1945</v>
      </c>
      <c r="B60" s="37" t="s">
        <v>1921</v>
      </c>
      <c r="C60" s="37" t="s">
        <v>725</v>
      </c>
      <c r="D60" s="44" t="s">
        <v>2002</v>
      </c>
      <c r="E60" s="44" t="s">
        <v>1996</v>
      </c>
      <c r="F60" s="37" t="s">
        <v>994</v>
      </c>
      <c r="G60" s="37" t="s">
        <v>1125</v>
      </c>
      <c r="H60" s="39" t="s">
        <v>1029</v>
      </c>
      <c r="I60" s="37" t="s">
        <v>1829</v>
      </c>
      <c r="J60" s="38">
        <v>45803.1785486921</v>
      </c>
      <c r="K60" s="37" t="s">
        <v>1810</v>
      </c>
      <c r="L60" s="37" t="s">
        <v>1810</v>
      </c>
      <c r="M60" s="37" t="s">
        <v>1810</v>
      </c>
      <c r="N60" s="37" t="s">
        <v>1810</v>
      </c>
      <c r="O60" s="37" t="s">
        <v>1810</v>
      </c>
      <c r="P60" s="37" t="s">
        <v>1810</v>
      </c>
      <c r="Q60" s="37" t="s">
        <v>1810</v>
      </c>
      <c r="R60" s="41">
        <v>45787</v>
      </c>
      <c r="S60" s="41">
        <v>45787</v>
      </c>
    </row>
    <row r="61" spans="1:19" x14ac:dyDescent="0.35">
      <c r="A61" s="37" t="s">
        <v>1946</v>
      </c>
      <c r="B61" s="37" t="s">
        <v>1923</v>
      </c>
      <c r="C61" s="37" t="s">
        <v>725</v>
      </c>
      <c r="D61" s="44" t="s">
        <v>2002</v>
      </c>
      <c r="E61" s="44" t="s">
        <v>1996</v>
      </c>
      <c r="F61" s="37" t="s">
        <v>994</v>
      </c>
      <c r="G61" s="37" t="s">
        <v>1125</v>
      </c>
      <c r="H61" s="39" t="s">
        <v>1029</v>
      </c>
      <c r="I61" s="37" t="s">
        <v>1829</v>
      </c>
      <c r="J61" s="38">
        <v>45785.2142419792</v>
      </c>
      <c r="K61" s="37" t="s">
        <v>1810</v>
      </c>
      <c r="L61" s="37" t="s">
        <v>1810</v>
      </c>
      <c r="M61" s="37" t="s">
        <v>1810</v>
      </c>
      <c r="N61" s="37" t="s">
        <v>1810</v>
      </c>
      <c r="O61" s="37" t="s">
        <v>1810</v>
      </c>
      <c r="P61" s="37" t="s">
        <v>1810</v>
      </c>
      <c r="Q61" s="37" t="s">
        <v>1810</v>
      </c>
      <c r="R61" s="41">
        <v>45780</v>
      </c>
      <c r="S61" s="41">
        <v>45780</v>
      </c>
    </row>
    <row r="62" spans="1:19" x14ac:dyDescent="0.35">
      <c r="A62" s="37" t="s">
        <v>1947</v>
      </c>
      <c r="B62" s="37" t="s">
        <v>1857</v>
      </c>
      <c r="C62" s="37" t="s">
        <v>725</v>
      </c>
      <c r="D62" s="44" t="s">
        <v>2002</v>
      </c>
      <c r="E62" s="44" t="s">
        <v>1996</v>
      </c>
      <c r="F62" s="37" t="s">
        <v>994</v>
      </c>
      <c r="G62" s="37" t="s">
        <v>1125</v>
      </c>
      <c r="H62" s="39" t="s">
        <v>1029</v>
      </c>
      <c r="I62" s="37" t="s">
        <v>1829</v>
      </c>
      <c r="J62" s="38">
        <v>45785.212598923601</v>
      </c>
      <c r="K62" s="37" t="s">
        <v>1810</v>
      </c>
      <c r="L62" s="37" t="s">
        <v>1810</v>
      </c>
      <c r="M62" s="37" t="s">
        <v>1810</v>
      </c>
      <c r="N62" s="37" t="s">
        <v>1810</v>
      </c>
      <c r="O62" s="37" t="s">
        <v>1810</v>
      </c>
      <c r="P62" s="37" t="s">
        <v>1810</v>
      </c>
      <c r="Q62" s="37" t="s">
        <v>1810</v>
      </c>
      <c r="R62" s="41">
        <v>45773</v>
      </c>
      <c r="S62" s="41">
        <v>45773</v>
      </c>
    </row>
    <row r="63" spans="1:19" x14ac:dyDescent="0.35">
      <c r="A63" s="37" t="s">
        <v>1948</v>
      </c>
      <c r="B63" s="37" t="s">
        <v>1859</v>
      </c>
      <c r="C63" s="37" t="s">
        <v>725</v>
      </c>
      <c r="D63" s="44" t="s">
        <v>2002</v>
      </c>
      <c r="E63" s="44" t="s">
        <v>1996</v>
      </c>
      <c r="F63" s="37" t="s">
        <v>994</v>
      </c>
      <c r="G63" s="37" t="s">
        <v>1125</v>
      </c>
      <c r="H63" s="39" t="s">
        <v>1029</v>
      </c>
      <c r="I63" s="37" t="s">
        <v>1829</v>
      </c>
      <c r="J63" s="38">
        <v>45785.2102920139</v>
      </c>
      <c r="K63" s="37" t="s">
        <v>1810</v>
      </c>
      <c r="L63" s="37" t="s">
        <v>1810</v>
      </c>
      <c r="M63" s="37" t="s">
        <v>1810</v>
      </c>
      <c r="N63" s="37" t="s">
        <v>1810</v>
      </c>
      <c r="O63" s="37" t="s">
        <v>1810</v>
      </c>
      <c r="P63" s="37" t="s">
        <v>1810</v>
      </c>
      <c r="Q63" s="37" t="s">
        <v>1810</v>
      </c>
      <c r="R63" s="41">
        <v>45766</v>
      </c>
      <c r="S63" s="41">
        <v>45766</v>
      </c>
    </row>
    <row r="64" spans="1:19" x14ac:dyDescent="0.35">
      <c r="A64" s="37" t="s">
        <v>1949</v>
      </c>
      <c r="B64" s="37" t="s">
        <v>1861</v>
      </c>
      <c r="C64" s="37" t="s">
        <v>725</v>
      </c>
      <c r="D64" s="44" t="s">
        <v>2002</v>
      </c>
      <c r="E64" s="44" t="s">
        <v>1996</v>
      </c>
      <c r="F64" s="37" t="s">
        <v>994</v>
      </c>
      <c r="G64" s="37" t="s">
        <v>1125</v>
      </c>
      <c r="H64" s="39" t="s">
        <v>1029</v>
      </c>
      <c r="I64" s="37" t="s">
        <v>1829</v>
      </c>
      <c r="J64" s="38">
        <v>45785.206396446803</v>
      </c>
      <c r="K64" s="37" t="s">
        <v>1810</v>
      </c>
      <c r="L64" s="37" t="s">
        <v>1810</v>
      </c>
      <c r="M64" s="37" t="s">
        <v>1810</v>
      </c>
      <c r="N64" s="37" t="s">
        <v>1810</v>
      </c>
      <c r="O64" s="37" t="s">
        <v>1810</v>
      </c>
      <c r="P64" s="37" t="s">
        <v>1810</v>
      </c>
      <c r="Q64" s="37" t="s">
        <v>1810</v>
      </c>
      <c r="R64" s="41">
        <v>45766</v>
      </c>
      <c r="S64" s="41">
        <v>45766</v>
      </c>
    </row>
    <row r="65" spans="1:19" x14ac:dyDescent="0.35">
      <c r="A65" s="37" t="s">
        <v>1950</v>
      </c>
      <c r="B65" s="37" t="s">
        <v>1863</v>
      </c>
      <c r="C65" s="37" t="s">
        <v>725</v>
      </c>
      <c r="D65" s="44" t="s">
        <v>2002</v>
      </c>
      <c r="E65" s="44" t="s">
        <v>1996</v>
      </c>
      <c r="F65" s="37" t="s">
        <v>994</v>
      </c>
      <c r="G65" s="37" t="s">
        <v>1125</v>
      </c>
      <c r="H65" s="39" t="s">
        <v>1029</v>
      </c>
      <c r="I65" s="37" t="s">
        <v>1829</v>
      </c>
      <c r="J65" s="38">
        <v>45785.201859918998</v>
      </c>
      <c r="K65" s="37" t="s">
        <v>1810</v>
      </c>
      <c r="L65" s="37" t="s">
        <v>1810</v>
      </c>
      <c r="M65" s="37" t="s">
        <v>1810</v>
      </c>
      <c r="N65" s="37" t="s">
        <v>1810</v>
      </c>
      <c r="O65" s="37" t="s">
        <v>1810</v>
      </c>
      <c r="P65" s="37" t="s">
        <v>1810</v>
      </c>
      <c r="Q65" s="37" t="s">
        <v>1810</v>
      </c>
      <c r="R65" s="41">
        <v>45759</v>
      </c>
      <c r="S65" s="41">
        <v>45759</v>
      </c>
    </row>
    <row r="66" spans="1:19" x14ac:dyDescent="0.35">
      <c r="A66" s="37" t="s">
        <v>1951</v>
      </c>
      <c r="B66" s="37" t="s">
        <v>1929</v>
      </c>
      <c r="C66" s="37" t="s">
        <v>1667</v>
      </c>
      <c r="D66" s="44" t="s">
        <v>2008</v>
      </c>
      <c r="E66" s="44" t="s">
        <v>1996</v>
      </c>
      <c r="F66" s="37" t="s">
        <v>994</v>
      </c>
      <c r="G66" s="37" t="s">
        <v>1808</v>
      </c>
      <c r="H66" s="39" t="s">
        <v>1029</v>
      </c>
      <c r="I66" s="37" t="s">
        <v>1845</v>
      </c>
      <c r="J66" s="38">
        <v>45780.843594444399</v>
      </c>
      <c r="K66" s="37" t="s">
        <v>1810</v>
      </c>
      <c r="L66" s="37" t="s">
        <v>1810</v>
      </c>
      <c r="M66" s="37" t="s">
        <v>1810</v>
      </c>
      <c r="N66" s="37" t="s">
        <v>1810</v>
      </c>
      <c r="O66" s="37" t="s">
        <v>1810</v>
      </c>
      <c r="P66" s="37" t="s">
        <v>1810</v>
      </c>
      <c r="Q66" s="37" t="s">
        <v>1810</v>
      </c>
      <c r="R66" s="41">
        <v>45766</v>
      </c>
      <c r="S66" s="41">
        <v>45766</v>
      </c>
    </row>
    <row r="67" spans="1:19" x14ac:dyDescent="0.35">
      <c r="A67" s="37" t="s">
        <v>1952</v>
      </c>
      <c r="B67" s="37" t="s">
        <v>1933</v>
      </c>
      <c r="C67" s="37" t="s">
        <v>1667</v>
      </c>
      <c r="D67" s="44" t="s">
        <v>2008</v>
      </c>
      <c r="E67" s="44" t="s">
        <v>1996</v>
      </c>
      <c r="F67" s="37" t="s">
        <v>994</v>
      </c>
      <c r="G67" s="37" t="s">
        <v>1808</v>
      </c>
      <c r="H67" s="39" t="s">
        <v>1029</v>
      </c>
      <c r="I67" s="37" t="s">
        <v>1845</v>
      </c>
      <c r="J67" s="38">
        <v>45780.838418402796</v>
      </c>
      <c r="K67" s="37" t="s">
        <v>1810</v>
      </c>
      <c r="L67" s="37" t="s">
        <v>1810</v>
      </c>
      <c r="M67" s="37" t="s">
        <v>1810</v>
      </c>
      <c r="N67" s="37" t="s">
        <v>1810</v>
      </c>
      <c r="O67" s="37" t="s">
        <v>1810</v>
      </c>
      <c r="P67" s="37" t="s">
        <v>1810</v>
      </c>
      <c r="Q67" s="37" t="s">
        <v>1810</v>
      </c>
      <c r="R67" s="41">
        <v>45752</v>
      </c>
      <c r="S67" s="41">
        <v>45752</v>
      </c>
    </row>
    <row r="68" spans="1:19" x14ac:dyDescent="0.35">
      <c r="A68" s="37" t="s">
        <v>1953</v>
      </c>
      <c r="B68" s="37" t="s">
        <v>1931</v>
      </c>
      <c r="C68" s="37" t="s">
        <v>1033</v>
      </c>
      <c r="D68" s="44" t="s">
        <v>1997</v>
      </c>
      <c r="E68" s="44" t="s">
        <v>1996</v>
      </c>
      <c r="F68" s="37" t="s">
        <v>971</v>
      </c>
      <c r="G68" s="37" t="s">
        <v>1036</v>
      </c>
      <c r="H68" s="39" t="s">
        <v>1029</v>
      </c>
      <c r="I68" s="37" t="s">
        <v>1829</v>
      </c>
      <c r="J68" s="38">
        <v>45761.255994328698</v>
      </c>
      <c r="K68" s="37" t="s">
        <v>1810</v>
      </c>
      <c r="L68" s="37" t="s">
        <v>1810</v>
      </c>
      <c r="M68" s="37" t="s">
        <v>1810</v>
      </c>
      <c r="N68" s="37" t="s">
        <v>1810</v>
      </c>
      <c r="O68" s="37" t="s">
        <v>1810</v>
      </c>
      <c r="P68" s="37" t="s">
        <v>1810</v>
      </c>
      <c r="Q68" s="37" t="s">
        <v>1810</v>
      </c>
      <c r="R68" s="41">
        <v>45759</v>
      </c>
      <c r="S68" s="41">
        <v>45759</v>
      </c>
    </row>
    <row r="69" spans="1:19" x14ac:dyDescent="0.35">
      <c r="A69" s="37" t="s">
        <v>1954</v>
      </c>
      <c r="B69" s="37" t="s">
        <v>1933</v>
      </c>
      <c r="C69" s="37" t="s">
        <v>1033</v>
      </c>
      <c r="D69" s="44" t="s">
        <v>1997</v>
      </c>
      <c r="E69" s="44" t="s">
        <v>1996</v>
      </c>
      <c r="F69" s="37" t="s">
        <v>971</v>
      </c>
      <c r="G69" s="37" t="s">
        <v>1036</v>
      </c>
      <c r="H69" s="39" t="s">
        <v>1029</v>
      </c>
      <c r="I69" s="37" t="s">
        <v>1829</v>
      </c>
      <c r="J69" s="38">
        <v>45759.293120682902</v>
      </c>
      <c r="K69" s="37" t="s">
        <v>1810</v>
      </c>
      <c r="L69" s="37" t="s">
        <v>1810</v>
      </c>
      <c r="M69" s="37" t="s">
        <v>1810</v>
      </c>
      <c r="N69" s="37" t="s">
        <v>1810</v>
      </c>
      <c r="O69" s="37" t="s">
        <v>1810</v>
      </c>
      <c r="P69" s="37" t="s">
        <v>1810</v>
      </c>
      <c r="Q69" s="37" t="s">
        <v>1810</v>
      </c>
      <c r="R69" s="41">
        <v>45752</v>
      </c>
      <c r="S69" s="41">
        <v>45752</v>
      </c>
    </row>
    <row r="70" spans="1:19" x14ac:dyDescent="0.35">
      <c r="A70" s="37" t="s">
        <v>1955</v>
      </c>
      <c r="B70" s="37" t="s">
        <v>1911</v>
      </c>
      <c r="C70" s="37" t="s">
        <v>1033</v>
      </c>
      <c r="D70" s="44" t="s">
        <v>1997</v>
      </c>
      <c r="E70" s="44" t="s">
        <v>1996</v>
      </c>
      <c r="F70" s="37" t="s">
        <v>971</v>
      </c>
      <c r="G70" s="37" t="s">
        <v>1036</v>
      </c>
      <c r="H70" s="39" t="s">
        <v>1029</v>
      </c>
      <c r="I70" s="37" t="s">
        <v>1829</v>
      </c>
      <c r="J70" s="38">
        <v>45742.730649189798</v>
      </c>
      <c r="K70" s="37" t="s">
        <v>1810</v>
      </c>
      <c r="L70" s="37" t="s">
        <v>1810</v>
      </c>
      <c r="M70" s="37" t="s">
        <v>1810</v>
      </c>
      <c r="N70" s="37" t="s">
        <v>1810</v>
      </c>
      <c r="O70" s="37" t="s">
        <v>1810</v>
      </c>
      <c r="P70" s="37" t="s">
        <v>1810</v>
      </c>
      <c r="Q70" s="37" t="s">
        <v>1810</v>
      </c>
      <c r="R70" s="41">
        <v>45733</v>
      </c>
      <c r="S70" s="41">
        <v>45733</v>
      </c>
    </row>
    <row r="71" spans="1:19" x14ac:dyDescent="0.35">
      <c r="A71" s="37" t="s">
        <v>1956</v>
      </c>
      <c r="B71" s="37" t="s">
        <v>1921</v>
      </c>
      <c r="C71" s="37" t="s">
        <v>1033</v>
      </c>
      <c r="D71" s="44" t="s">
        <v>1997</v>
      </c>
      <c r="E71" s="44" t="s">
        <v>1996</v>
      </c>
      <c r="F71" s="37" t="s">
        <v>971</v>
      </c>
      <c r="G71" s="37" t="s">
        <v>1036</v>
      </c>
      <c r="H71" s="39" t="s">
        <v>1029</v>
      </c>
      <c r="I71" s="37" t="s">
        <v>1829</v>
      </c>
      <c r="J71" s="38">
        <v>45742.630336111099</v>
      </c>
      <c r="K71" s="37" t="s">
        <v>1810</v>
      </c>
      <c r="L71" s="37" t="s">
        <v>1810</v>
      </c>
      <c r="M71" s="37" t="s">
        <v>1810</v>
      </c>
      <c r="N71" s="37" t="s">
        <v>1810</v>
      </c>
      <c r="O71" s="37" t="s">
        <v>1810</v>
      </c>
      <c r="P71" s="37" t="s">
        <v>1810</v>
      </c>
      <c r="Q71" s="37" t="s">
        <v>1810</v>
      </c>
      <c r="R71" s="41">
        <v>45726</v>
      </c>
      <c r="S71" s="41">
        <v>45726</v>
      </c>
    </row>
    <row r="72" spans="1:19" x14ac:dyDescent="0.35">
      <c r="A72" s="37" t="s">
        <v>1957</v>
      </c>
      <c r="B72" s="37" t="s">
        <v>1923</v>
      </c>
      <c r="C72" s="37" t="s">
        <v>1033</v>
      </c>
      <c r="D72" s="44" t="s">
        <v>1997</v>
      </c>
      <c r="E72" s="44" t="s">
        <v>1996</v>
      </c>
      <c r="F72" s="37" t="s">
        <v>971</v>
      </c>
      <c r="G72" s="37" t="s">
        <v>1036</v>
      </c>
      <c r="H72" s="39" t="s">
        <v>1029</v>
      </c>
      <c r="I72" s="37" t="s">
        <v>1829</v>
      </c>
      <c r="J72" s="38">
        <v>45742.628033564797</v>
      </c>
      <c r="K72" s="37" t="s">
        <v>1810</v>
      </c>
      <c r="L72" s="37" t="s">
        <v>1810</v>
      </c>
      <c r="M72" s="37" t="s">
        <v>1810</v>
      </c>
      <c r="N72" s="37" t="s">
        <v>1810</v>
      </c>
      <c r="O72" s="37" t="s">
        <v>1810</v>
      </c>
      <c r="P72" s="37" t="s">
        <v>1810</v>
      </c>
      <c r="Q72" s="37" t="s">
        <v>1810</v>
      </c>
      <c r="R72" s="41">
        <v>45719</v>
      </c>
      <c r="S72" s="41">
        <v>45720</v>
      </c>
    </row>
    <row r="73" spans="1:19" x14ac:dyDescent="0.35">
      <c r="A73" s="37" t="s">
        <v>1958</v>
      </c>
      <c r="B73" s="37" t="s">
        <v>1959</v>
      </c>
      <c r="C73" s="37" t="s">
        <v>797</v>
      </c>
      <c r="D73" s="44" t="s">
        <v>2011</v>
      </c>
      <c r="E73" s="44" t="s">
        <v>1996</v>
      </c>
      <c r="F73" s="37" t="s">
        <v>1960</v>
      </c>
      <c r="G73" s="37" t="s">
        <v>1808</v>
      </c>
      <c r="H73" s="39" t="s">
        <v>1029</v>
      </c>
      <c r="I73" s="37" t="s">
        <v>1777</v>
      </c>
      <c r="J73" s="38">
        <v>45734.400817476897</v>
      </c>
      <c r="K73" s="37" t="s">
        <v>1810</v>
      </c>
      <c r="L73" s="37" t="s">
        <v>1810</v>
      </c>
      <c r="M73" s="37" t="s">
        <v>1810</v>
      </c>
      <c r="N73" s="37" t="s">
        <v>1810</v>
      </c>
      <c r="O73" s="37" t="s">
        <v>1810</v>
      </c>
      <c r="P73" s="37" t="s">
        <v>1810</v>
      </c>
      <c r="Q73" s="37" t="s">
        <v>1961</v>
      </c>
      <c r="R73" s="41">
        <v>45710</v>
      </c>
      <c r="S73" s="41">
        <v>45710</v>
      </c>
    </row>
    <row r="74" spans="1:19" x14ac:dyDescent="0.35">
      <c r="A74" s="37" t="s">
        <v>1962</v>
      </c>
      <c r="B74" s="37" t="s">
        <v>1878</v>
      </c>
      <c r="C74" s="37" t="s">
        <v>1033</v>
      </c>
      <c r="D74" s="44" t="s">
        <v>1997</v>
      </c>
      <c r="E74" s="44" t="s">
        <v>1996</v>
      </c>
      <c r="F74" s="37" t="s">
        <v>1829</v>
      </c>
      <c r="G74" s="37" t="s">
        <v>1036</v>
      </c>
      <c r="H74" s="39" t="s">
        <v>1029</v>
      </c>
      <c r="I74" s="37" t="s">
        <v>1829</v>
      </c>
      <c r="J74" s="38">
        <v>45729.653975266199</v>
      </c>
      <c r="K74" s="37" t="s">
        <v>1810</v>
      </c>
      <c r="L74" s="37" t="s">
        <v>1810</v>
      </c>
      <c r="M74" s="37" t="s">
        <v>1810</v>
      </c>
      <c r="N74" s="37" t="s">
        <v>1810</v>
      </c>
      <c r="O74" s="37" t="s">
        <v>1810</v>
      </c>
      <c r="P74" s="37" t="s">
        <v>1810</v>
      </c>
      <c r="Q74" s="37" t="s">
        <v>1810</v>
      </c>
      <c r="R74" s="41">
        <v>45729</v>
      </c>
      <c r="S74" s="41">
        <v>45729</v>
      </c>
    </row>
    <row r="75" spans="1:19" x14ac:dyDescent="0.35">
      <c r="A75" s="37" t="s">
        <v>1963</v>
      </c>
      <c r="B75" s="37" t="s">
        <v>1880</v>
      </c>
      <c r="C75" s="37" t="s">
        <v>1033</v>
      </c>
      <c r="D75" s="44" t="s">
        <v>1997</v>
      </c>
      <c r="E75" s="44" t="s">
        <v>1996</v>
      </c>
      <c r="F75" s="37" t="s">
        <v>1829</v>
      </c>
      <c r="G75" s="37" t="s">
        <v>1036</v>
      </c>
      <c r="H75" s="39" t="s">
        <v>1029</v>
      </c>
      <c r="I75" s="37" t="s">
        <v>1829</v>
      </c>
      <c r="J75" s="38">
        <v>45729.6127601505</v>
      </c>
      <c r="K75" s="37" t="s">
        <v>1810</v>
      </c>
      <c r="L75" s="37" t="s">
        <v>1810</v>
      </c>
      <c r="M75" s="37" t="s">
        <v>1810</v>
      </c>
      <c r="N75" s="37" t="s">
        <v>1810</v>
      </c>
      <c r="O75" s="37" t="s">
        <v>1810</v>
      </c>
      <c r="P75" s="37" t="s">
        <v>1810</v>
      </c>
      <c r="Q75" s="37" t="s">
        <v>1810</v>
      </c>
      <c r="R75" s="41">
        <v>45729</v>
      </c>
      <c r="S75" s="41">
        <v>45729</v>
      </c>
    </row>
    <row r="76" spans="1:19" x14ac:dyDescent="0.35">
      <c r="A76" s="37" t="s">
        <v>1964</v>
      </c>
      <c r="B76" s="37" t="s">
        <v>1965</v>
      </c>
      <c r="C76" s="37" t="s">
        <v>1582</v>
      </c>
      <c r="D76" s="44" t="s">
        <v>2012</v>
      </c>
      <c r="E76" s="44" t="s">
        <v>2001</v>
      </c>
      <c r="F76" s="37" t="s">
        <v>1966</v>
      </c>
      <c r="G76" s="37" t="s">
        <v>1125</v>
      </c>
      <c r="H76" s="39" t="s">
        <v>1029</v>
      </c>
      <c r="I76" s="37" t="s">
        <v>1829</v>
      </c>
      <c r="J76" s="38">
        <v>45711.110126122701</v>
      </c>
      <c r="K76" s="37" t="s">
        <v>1810</v>
      </c>
      <c r="L76" s="37" t="s">
        <v>1810</v>
      </c>
      <c r="M76" s="37" t="s">
        <v>1810</v>
      </c>
      <c r="N76" s="37" t="s">
        <v>1810</v>
      </c>
      <c r="O76" s="37" t="s">
        <v>1810</v>
      </c>
      <c r="P76" s="37" t="s">
        <v>1810</v>
      </c>
      <c r="Q76" s="37" t="s">
        <v>1810</v>
      </c>
      <c r="R76" s="41">
        <v>45011</v>
      </c>
      <c r="S76" s="41">
        <v>45011</v>
      </c>
    </row>
    <row r="77" spans="1:19" x14ac:dyDescent="0.35">
      <c r="A77" s="37" t="s">
        <v>1967</v>
      </c>
      <c r="B77" s="37" t="s">
        <v>1929</v>
      </c>
      <c r="C77" s="37" t="s">
        <v>725</v>
      </c>
      <c r="D77" s="44" t="s">
        <v>2002</v>
      </c>
      <c r="E77" s="44" t="s">
        <v>1996</v>
      </c>
      <c r="F77" s="37" t="s">
        <v>994</v>
      </c>
      <c r="G77" s="37" t="s">
        <v>1125</v>
      </c>
      <c r="H77" s="39" t="s">
        <v>1029</v>
      </c>
      <c r="I77" s="37" t="s">
        <v>1829</v>
      </c>
      <c r="J77" s="38">
        <v>45693.899406284698</v>
      </c>
      <c r="K77" s="37" t="s">
        <v>1810</v>
      </c>
      <c r="L77" s="37" t="s">
        <v>1810</v>
      </c>
      <c r="M77" s="37" t="s">
        <v>1810</v>
      </c>
      <c r="N77" s="37" t="s">
        <v>1810</v>
      </c>
      <c r="O77" s="37" t="s">
        <v>1810</v>
      </c>
      <c r="P77" s="37" t="s">
        <v>1810</v>
      </c>
      <c r="Q77" s="37" t="s">
        <v>1810</v>
      </c>
      <c r="R77" s="41">
        <v>45682</v>
      </c>
      <c r="S77" s="41">
        <v>45682</v>
      </c>
    </row>
    <row r="78" spans="1:19" x14ac:dyDescent="0.35">
      <c r="A78" s="37" t="s">
        <v>1968</v>
      </c>
      <c r="B78" s="37" t="s">
        <v>1931</v>
      </c>
      <c r="C78" s="37" t="s">
        <v>725</v>
      </c>
      <c r="D78" s="44" t="s">
        <v>2002</v>
      </c>
      <c r="E78" s="44" t="s">
        <v>1996</v>
      </c>
      <c r="F78" s="37" t="s">
        <v>994</v>
      </c>
      <c r="G78" s="37" t="s">
        <v>1125</v>
      </c>
      <c r="H78" s="39" t="s">
        <v>1029</v>
      </c>
      <c r="I78" s="37" t="s">
        <v>1829</v>
      </c>
      <c r="J78" s="38">
        <v>45693.898829131896</v>
      </c>
      <c r="K78" s="37" t="s">
        <v>1810</v>
      </c>
      <c r="L78" s="37" t="s">
        <v>1810</v>
      </c>
      <c r="M78" s="37" t="s">
        <v>1810</v>
      </c>
      <c r="N78" s="37" t="s">
        <v>1810</v>
      </c>
      <c r="O78" s="37" t="s">
        <v>1810</v>
      </c>
      <c r="P78" s="37" t="s">
        <v>1810</v>
      </c>
      <c r="Q78" s="37" t="s">
        <v>1810</v>
      </c>
      <c r="R78" s="41">
        <v>45675</v>
      </c>
      <c r="S78" s="41">
        <v>45675</v>
      </c>
    </row>
    <row r="79" spans="1:19" x14ac:dyDescent="0.35">
      <c r="A79" s="37" t="s">
        <v>1969</v>
      </c>
      <c r="B79" s="37" t="s">
        <v>1933</v>
      </c>
      <c r="C79" s="37" t="s">
        <v>725</v>
      </c>
      <c r="D79" s="44" t="s">
        <v>2002</v>
      </c>
      <c r="E79" s="44" t="s">
        <v>1996</v>
      </c>
      <c r="F79" s="37" t="s">
        <v>994</v>
      </c>
      <c r="G79" s="37" t="s">
        <v>1125</v>
      </c>
      <c r="H79" s="39" t="s">
        <v>1029</v>
      </c>
      <c r="I79" s="37" t="s">
        <v>1829</v>
      </c>
      <c r="J79" s="38">
        <v>45693.898118634301</v>
      </c>
      <c r="K79" s="37" t="s">
        <v>1810</v>
      </c>
      <c r="L79" s="37" t="s">
        <v>1810</v>
      </c>
      <c r="M79" s="37" t="s">
        <v>1810</v>
      </c>
      <c r="N79" s="37" t="s">
        <v>1810</v>
      </c>
      <c r="O79" s="37" t="s">
        <v>1810</v>
      </c>
      <c r="P79" s="37" t="s">
        <v>1810</v>
      </c>
      <c r="Q79" s="37" t="s">
        <v>1810</v>
      </c>
      <c r="R79" s="41">
        <v>45668</v>
      </c>
      <c r="S79" s="41">
        <v>45668</v>
      </c>
    </row>
    <row r="80" spans="1:19" x14ac:dyDescent="0.35">
      <c r="A80" s="37" t="s">
        <v>1970</v>
      </c>
      <c r="B80" s="37" t="s">
        <v>1853</v>
      </c>
      <c r="C80" s="37" t="s">
        <v>725</v>
      </c>
      <c r="D80" s="44" t="s">
        <v>2002</v>
      </c>
      <c r="E80" s="44" t="s">
        <v>1996</v>
      </c>
      <c r="F80" s="37" t="s">
        <v>971</v>
      </c>
      <c r="G80" s="37" t="s">
        <v>1125</v>
      </c>
      <c r="H80" s="39" t="s">
        <v>1029</v>
      </c>
      <c r="I80" s="37" t="s">
        <v>1829</v>
      </c>
      <c r="J80" s="38">
        <v>45693.895305208302</v>
      </c>
      <c r="K80" s="37" t="s">
        <v>1810</v>
      </c>
      <c r="L80" s="37" t="s">
        <v>1810</v>
      </c>
      <c r="M80" s="37" t="s">
        <v>1810</v>
      </c>
      <c r="N80" s="37" t="s">
        <v>1810</v>
      </c>
      <c r="O80" s="37" t="s">
        <v>1810</v>
      </c>
      <c r="P80" s="37" t="s">
        <v>1810</v>
      </c>
      <c r="Q80" s="37" t="s">
        <v>1810</v>
      </c>
      <c r="R80" s="41">
        <v>45675</v>
      </c>
      <c r="S80" s="41">
        <v>45675</v>
      </c>
    </row>
    <row r="81" spans="1:19" x14ac:dyDescent="0.35">
      <c r="A81" s="37" t="s">
        <v>1971</v>
      </c>
      <c r="B81" s="37" t="s">
        <v>1855</v>
      </c>
      <c r="C81" s="37" t="s">
        <v>725</v>
      </c>
      <c r="D81" s="44" t="s">
        <v>2002</v>
      </c>
      <c r="E81" s="44" t="s">
        <v>1996</v>
      </c>
      <c r="F81" s="37" t="s">
        <v>971</v>
      </c>
      <c r="G81" s="37" t="s">
        <v>1125</v>
      </c>
      <c r="H81" s="39" t="s">
        <v>1029</v>
      </c>
      <c r="I81" s="37" t="s">
        <v>1829</v>
      </c>
      <c r="J81" s="38">
        <v>45693.889076388899</v>
      </c>
      <c r="K81" s="37" t="s">
        <v>1810</v>
      </c>
      <c r="L81" s="37" t="s">
        <v>1810</v>
      </c>
      <c r="M81" s="37" t="s">
        <v>1810</v>
      </c>
      <c r="N81" s="37" t="s">
        <v>1810</v>
      </c>
      <c r="O81" s="37" t="s">
        <v>1810</v>
      </c>
      <c r="P81" s="37" t="s">
        <v>1810</v>
      </c>
      <c r="Q81" s="37" t="s">
        <v>1810</v>
      </c>
      <c r="R81" s="41">
        <v>45668</v>
      </c>
      <c r="S81" s="41">
        <v>45668</v>
      </c>
    </row>
    <row r="82" spans="1:19" x14ac:dyDescent="0.35">
      <c r="A82" s="37" t="s">
        <v>1972</v>
      </c>
      <c r="B82" s="37" t="s">
        <v>1853</v>
      </c>
      <c r="C82" s="37" t="s">
        <v>725</v>
      </c>
      <c r="D82" s="44" t="s">
        <v>2002</v>
      </c>
      <c r="E82" s="44" t="s">
        <v>1996</v>
      </c>
      <c r="F82" s="37" t="s">
        <v>971</v>
      </c>
      <c r="G82" s="37" t="s">
        <v>1125</v>
      </c>
      <c r="H82" s="39" t="s">
        <v>1029</v>
      </c>
      <c r="I82" s="37" t="s">
        <v>1829</v>
      </c>
      <c r="J82" s="38">
        <v>45627.855749918999</v>
      </c>
      <c r="K82" s="37" t="s">
        <v>1810</v>
      </c>
      <c r="L82" s="37" t="s">
        <v>1810</v>
      </c>
      <c r="M82" s="37" t="s">
        <v>1810</v>
      </c>
      <c r="N82" s="37" t="s">
        <v>1810</v>
      </c>
      <c r="O82" s="37" t="s">
        <v>1810</v>
      </c>
      <c r="P82" s="37" t="s">
        <v>1810</v>
      </c>
      <c r="Q82" s="37" t="s">
        <v>1810</v>
      </c>
      <c r="R82" s="41">
        <v>45598</v>
      </c>
      <c r="S82" s="41">
        <v>45598</v>
      </c>
    </row>
    <row r="83" spans="1:19" x14ac:dyDescent="0.35">
      <c r="A83" s="37" t="s">
        <v>1973</v>
      </c>
      <c r="B83" s="37" t="s">
        <v>1859</v>
      </c>
      <c r="C83" s="37" t="s">
        <v>1974</v>
      </c>
      <c r="D83" s="44" t="s">
        <v>2013</v>
      </c>
      <c r="E83" s="44" t="s">
        <v>2014</v>
      </c>
      <c r="F83" s="37" t="s">
        <v>994</v>
      </c>
      <c r="G83" s="37" t="s">
        <v>1867</v>
      </c>
      <c r="H83" s="39" t="s">
        <v>1029</v>
      </c>
      <c r="I83" s="37" t="s">
        <v>1829</v>
      </c>
      <c r="J83" s="38">
        <v>45619.237167326399</v>
      </c>
      <c r="K83" s="37" t="s">
        <v>1810</v>
      </c>
      <c r="L83" s="37" t="s">
        <v>1810</v>
      </c>
      <c r="M83" s="37" t="s">
        <v>1810</v>
      </c>
      <c r="N83" s="37" t="s">
        <v>1810</v>
      </c>
      <c r="O83" s="37" t="s">
        <v>1810</v>
      </c>
      <c r="P83" s="37" t="s">
        <v>1810</v>
      </c>
      <c r="Q83" s="37" t="s">
        <v>1810</v>
      </c>
      <c r="R83" s="41">
        <v>45606</v>
      </c>
      <c r="S83" s="41">
        <v>45612</v>
      </c>
    </row>
    <row r="84" spans="1:19" x14ac:dyDescent="0.35">
      <c r="A84" s="37" t="s">
        <v>1975</v>
      </c>
      <c r="B84" s="37" t="s">
        <v>1861</v>
      </c>
      <c r="C84" s="37" t="s">
        <v>1974</v>
      </c>
      <c r="D84" s="44" t="s">
        <v>2013</v>
      </c>
      <c r="E84" s="44" t="s">
        <v>2014</v>
      </c>
      <c r="F84" s="37" t="s">
        <v>971</v>
      </c>
      <c r="G84" s="37" t="s">
        <v>1867</v>
      </c>
      <c r="H84" s="39" t="s">
        <v>1029</v>
      </c>
      <c r="I84" s="37" t="s">
        <v>1829</v>
      </c>
      <c r="J84" s="38">
        <v>45619.185816088</v>
      </c>
      <c r="K84" s="37" t="s">
        <v>1810</v>
      </c>
      <c r="L84" s="37" t="s">
        <v>1810</v>
      </c>
      <c r="M84" s="37" t="s">
        <v>1810</v>
      </c>
      <c r="N84" s="37" t="s">
        <v>1810</v>
      </c>
      <c r="O84" s="37" t="s">
        <v>1810</v>
      </c>
      <c r="P84" s="37" t="s">
        <v>1810</v>
      </c>
      <c r="Q84" s="37" t="s">
        <v>1810</v>
      </c>
      <c r="R84" s="41">
        <v>45599</v>
      </c>
      <c r="S84" s="41">
        <v>45605</v>
      </c>
    </row>
    <row r="85" spans="1:19" x14ac:dyDescent="0.35">
      <c r="A85" s="37" t="s">
        <v>1976</v>
      </c>
      <c r="B85" s="37" t="s">
        <v>1936</v>
      </c>
      <c r="C85" s="37" t="s">
        <v>1260</v>
      </c>
      <c r="D85" s="44" t="s">
        <v>2007</v>
      </c>
      <c r="E85" s="44" t="s">
        <v>2006</v>
      </c>
      <c r="F85" s="37" t="s">
        <v>1977</v>
      </c>
      <c r="G85" s="37" t="s">
        <v>1125</v>
      </c>
      <c r="H85" s="39" t="s">
        <v>1029</v>
      </c>
      <c r="I85" s="37" t="s">
        <v>1829</v>
      </c>
      <c r="J85" s="38">
        <v>45563.734794131902</v>
      </c>
      <c r="K85" s="37" t="s">
        <v>1810</v>
      </c>
      <c r="L85" s="37" t="s">
        <v>1810</v>
      </c>
      <c r="M85" s="37" t="s">
        <v>1810</v>
      </c>
      <c r="N85" s="37" t="s">
        <v>1810</v>
      </c>
      <c r="O85" s="37" t="s">
        <v>1810</v>
      </c>
      <c r="P85" s="37" t="s">
        <v>1810</v>
      </c>
      <c r="Q85" s="37" t="s">
        <v>1810</v>
      </c>
      <c r="R85" s="41">
        <v>45561</v>
      </c>
      <c r="S85" s="41">
        <v>45561</v>
      </c>
    </row>
    <row r="86" spans="1:19" x14ac:dyDescent="0.35">
      <c r="A86" s="37" t="s">
        <v>1978</v>
      </c>
      <c r="B86" s="37" t="s">
        <v>1866</v>
      </c>
      <c r="C86" s="37" t="s">
        <v>1292</v>
      </c>
      <c r="D86" s="44" t="s">
        <v>1997</v>
      </c>
      <c r="E86" s="44" t="s">
        <v>1996</v>
      </c>
      <c r="F86" s="37" t="s">
        <v>45</v>
      </c>
      <c r="G86" s="37" t="s">
        <v>1125</v>
      </c>
      <c r="H86" s="39" t="s">
        <v>1029</v>
      </c>
      <c r="I86" s="37" t="s">
        <v>1829</v>
      </c>
      <c r="J86" s="38">
        <v>45446.728143900502</v>
      </c>
      <c r="K86" s="37" t="s">
        <v>1810</v>
      </c>
      <c r="L86" s="37" t="s">
        <v>1810</v>
      </c>
      <c r="M86" s="37" t="s">
        <v>1810</v>
      </c>
      <c r="N86" s="37" t="s">
        <v>1810</v>
      </c>
      <c r="O86" s="37" t="s">
        <v>1810</v>
      </c>
      <c r="P86" s="37" t="s">
        <v>1810</v>
      </c>
      <c r="Q86" s="37" t="s">
        <v>1810</v>
      </c>
      <c r="R86" s="41">
        <v>45438</v>
      </c>
      <c r="S86" s="41">
        <v>45444</v>
      </c>
    </row>
    <row r="87" spans="1:19" x14ac:dyDescent="0.35">
      <c r="A87" s="37" t="s">
        <v>1979</v>
      </c>
      <c r="B87" s="37" t="s">
        <v>1875</v>
      </c>
      <c r="C87" s="37" t="s">
        <v>1292</v>
      </c>
      <c r="D87" s="44" t="s">
        <v>1997</v>
      </c>
      <c r="E87" s="44" t="s">
        <v>1996</v>
      </c>
      <c r="F87" s="37" t="s">
        <v>1829</v>
      </c>
      <c r="G87" s="37" t="s">
        <v>1125</v>
      </c>
      <c r="H87" s="39" t="s">
        <v>1029</v>
      </c>
      <c r="I87" s="37" t="s">
        <v>1829</v>
      </c>
      <c r="J87" s="38">
        <v>45446.727667442101</v>
      </c>
      <c r="K87" s="37" t="s">
        <v>1810</v>
      </c>
      <c r="L87" s="37" t="s">
        <v>1810</v>
      </c>
      <c r="M87" s="37" t="s">
        <v>1810</v>
      </c>
      <c r="N87" s="37" t="s">
        <v>1810</v>
      </c>
      <c r="O87" s="37" t="s">
        <v>1810</v>
      </c>
      <c r="P87" s="37" t="s">
        <v>1810</v>
      </c>
      <c r="Q87" s="37" t="s">
        <v>1810</v>
      </c>
      <c r="R87" s="41">
        <v>45424</v>
      </c>
      <c r="S87" s="41">
        <v>45430</v>
      </c>
    </row>
    <row r="88" spans="1:19" x14ac:dyDescent="0.35">
      <c r="A88" s="37" t="s">
        <v>1980</v>
      </c>
      <c r="B88" s="37" t="s">
        <v>1859</v>
      </c>
      <c r="C88" s="37" t="s">
        <v>1292</v>
      </c>
      <c r="D88" s="44" t="s">
        <v>1997</v>
      </c>
      <c r="E88" s="44" t="s">
        <v>1996</v>
      </c>
      <c r="F88" s="37" t="s">
        <v>1829</v>
      </c>
      <c r="G88" s="37" t="s">
        <v>1125</v>
      </c>
      <c r="H88" s="39" t="s">
        <v>1029</v>
      </c>
      <c r="I88" s="37" t="s">
        <v>1829</v>
      </c>
      <c r="J88" s="38">
        <v>45446.727157407397</v>
      </c>
      <c r="K88" s="37" t="s">
        <v>1810</v>
      </c>
      <c r="L88" s="37" t="s">
        <v>1810</v>
      </c>
      <c r="M88" s="37" t="s">
        <v>1810</v>
      </c>
      <c r="N88" s="37" t="s">
        <v>1810</v>
      </c>
      <c r="O88" s="37" t="s">
        <v>1810</v>
      </c>
      <c r="P88" s="37" t="s">
        <v>1810</v>
      </c>
      <c r="Q88" s="37" t="s">
        <v>1810</v>
      </c>
      <c r="R88" s="41">
        <v>45417</v>
      </c>
      <c r="S88" s="41">
        <v>45423</v>
      </c>
    </row>
    <row r="89" spans="1:19" x14ac:dyDescent="0.35">
      <c r="A89" s="37" t="s">
        <v>1981</v>
      </c>
      <c r="B89" s="37" t="s">
        <v>1861</v>
      </c>
      <c r="C89" s="37" t="s">
        <v>1292</v>
      </c>
      <c r="D89" s="44" t="s">
        <v>1997</v>
      </c>
      <c r="E89" s="44" t="s">
        <v>1996</v>
      </c>
      <c r="F89" s="37" t="s">
        <v>1829</v>
      </c>
      <c r="G89" s="37" t="s">
        <v>1125</v>
      </c>
      <c r="H89" s="39" t="s">
        <v>1029</v>
      </c>
      <c r="I89" s="37" t="s">
        <v>1829</v>
      </c>
      <c r="J89" s="38">
        <v>45446.726022256902</v>
      </c>
      <c r="K89" s="37" t="s">
        <v>1810</v>
      </c>
      <c r="L89" s="37" t="s">
        <v>1810</v>
      </c>
      <c r="M89" s="37" t="s">
        <v>1810</v>
      </c>
      <c r="N89" s="37" t="s">
        <v>1810</v>
      </c>
      <c r="O89" s="37" t="s">
        <v>1810</v>
      </c>
      <c r="P89" s="37" t="s">
        <v>1810</v>
      </c>
      <c r="Q89" s="37" t="s">
        <v>1810</v>
      </c>
      <c r="R89" s="41">
        <v>45410</v>
      </c>
      <c r="S89" s="41">
        <v>45416</v>
      </c>
    </row>
    <row r="90" spans="1:19" x14ac:dyDescent="0.35">
      <c r="A90" s="37" t="s">
        <v>1982</v>
      </c>
      <c r="B90" s="37" t="s">
        <v>1965</v>
      </c>
      <c r="C90" s="37" t="s">
        <v>1277</v>
      </c>
      <c r="D90" s="44" t="s">
        <v>2007</v>
      </c>
      <c r="E90" s="44" t="s">
        <v>2006</v>
      </c>
      <c r="F90" s="37" t="s">
        <v>1983</v>
      </c>
      <c r="G90" s="37" t="s">
        <v>1125</v>
      </c>
      <c r="H90" s="39" t="s">
        <v>1029</v>
      </c>
      <c r="I90" s="37" t="s">
        <v>1829</v>
      </c>
      <c r="J90" s="38">
        <v>45395.823063425902</v>
      </c>
      <c r="K90" s="37" t="s">
        <v>1810</v>
      </c>
      <c r="L90" s="37" t="s">
        <v>1810</v>
      </c>
      <c r="M90" s="37" t="s">
        <v>1810</v>
      </c>
      <c r="N90" s="37" t="s">
        <v>1810</v>
      </c>
      <c r="O90" s="37" t="s">
        <v>1810</v>
      </c>
      <c r="P90" s="37" t="s">
        <v>1810</v>
      </c>
      <c r="Q90" s="37" t="s">
        <v>1810</v>
      </c>
      <c r="R90" s="41">
        <v>45395</v>
      </c>
      <c r="S90" s="41">
        <v>45395</v>
      </c>
    </row>
    <row r="91" spans="1:19" x14ac:dyDescent="0.35">
      <c r="A91" s="37" t="s">
        <v>1984</v>
      </c>
      <c r="B91" s="37" t="s">
        <v>1985</v>
      </c>
      <c r="C91" s="37" t="s">
        <v>1616</v>
      </c>
      <c r="D91" s="44" t="s">
        <v>2015</v>
      </c>
      <c r="E91" s="44" t="s">
        <v>2001</v>
      </c>
      <c r="F91" s="37" t="s">
        <v>1986</v>
      </c>
      <c r="G91" s="37" t="s">
        <v>1808</v>
      </c>
      <c r="H91" s="39" t="s">
        <v>1029</v>
      </c>
      <c r="I91" s="37" t="s">
        <v>1987</v>
      </c>
      <c r="J91" s="38">
        <v>45258.304907789403</v>
      </c>
      <c r="K91" s="37" t="s">
        <v>1810</v>
      </c>
      <c r="L91" s="37" t="s">
        <v>1810</v>
      </c>
      <c r="M91" s="37" t="s">
        <v>1810</v>
      </c>
      <c r="N91" s="37" t="s">
        <v>1810</v>
      </c>
      <c r="O91" s="37" t="s">
        <v>1810</v>
      </c>
      <c r="P91" s="37" t="s">
        <v>1830</v>
      </c>
      <c r="Q91" s="37" t="s">
        <v>1810</v>
      </c>
      <c r="R91" s="41">
        <v>45228</v>
      </c>
      <c r="S91" s="41">
        <v>45228</v>
      </c>
    </row>
    <row r="92" spans="1:19" x14ac:dyDescent="0.35">
      <c r="A92" s="37" t="s">
        <v>1988</v>
      </c>
      <c r="B92" s="37" t="s">
        <v>1931</v>
      </c>
      <c r="C92" s="37" t="s">
        <v>1989</v>
      </c>
      <c r="D92" s="44" t="s">
        <v>2016</v>
      </c>
      <c r="E92" s="44" t="s">
        <v>2014</v>
      </c>
      <c r="F92" s="37" t="s">
        <v>994</v>
      </c>
      <c r="G92" s="37" t="s">
        <v>1867</v>
      </c>
      <c r="H92" s="39" t="s">
        <v>1029</v>
      </c>
      <c r="I92" s="37" t="s">
        <v>1829</v>
      </c>
      <c r="J92" s="38">
        <v>45197.1493380787</v>
      </c>
      <c r="K92" s="37" t="s">
        <v>1810</v>
      </c>
      <c r="L92" s="37" t="s">
        <v>1810</v>
      </c>
      <c r="M92" s="37" t="s">
        <v>1810</v>
      </c>
      <c r="N92" s="37" t="s">
        <v>1810</v>
      </c>
      <c r="O92" s="37" t="s">
        <v>1810</v>
      </c>
      <c r="P92" s="37" t="s">
        <v>1810</v>
      </c>
      <c r="Q92" s="37" t="s">
        <v>1810</v>
      </c>
      <c r="R92" s="41">
        <v>45151</v>
      </c>
      <c r="S92" s="41">
        <v>45151</v>
      </c>
    </row>
    <row r="93" spans="1:19" x14ac:dyDescent="0.35">
      <c r="A93" s="37" t="s">
        <v>1990</v>
      </c>
      <c r="B93" s="37" t="s">
        <v>1959</v>
      </c>
      <c r="C93" s="37" t="s">
        <v>1033</v>
      </c>
      <c r="D93" s="44" t="s">
        <v>1997</v>
      </c>
      <c r="E93" s="44" t="s">
        <v>1996</v>
      </c>
      <c r="F93" s="37" t="s">
        <v>1960</v>
      </c>
      <c r="G93" s="37" t="s">
        <v>1712</v>
      </c>
      <c r="H93" s="39" t="s">
        <v>1029</v>
      </c>
      <c r="I93" s="37" t="s">
        <v>1777</v>
      </c>
      <c r="J93" s="38">
        <v>45163.442863576398</v>
      </c>
      <c r="K93" s="37" t="s">
        <v>1810</v>
      </c>
      <c r="L93" s="37" t="s">
        <v>1810</v>
      </c>
      <c r="M93" s="37" t="s">
        <v>1810</v>
      </c>
      <c r="N93" s="37" t="s">
        <v>1810</v>
      </c>
      <c r="O93" s="37" t="s">
        <v>1810</v>
      </c>
      <c r="P93" s="37" t="s">
        <v>1810</v>
      </c>
      <c r="Q93" s="37" t="s">
        <v>1991</v>
      </c>
      <c r="R93" s="41">
        <v>45144</v>
      </c>
      <c r="S93" s="41">
        <v>45144</v>
      </c>
    </row>
    <row r="94" spans="1:19" x14ac:dyDescent="0.35">
      <c r="A94" s="37" t="s">
        <v>1992</v>
      </c>
      <c r="B94" s="37" t="s">
        <v>1993</v>
      </c>
      <c r="C94" s="37" t="s">
        <v>1292</v>
      </c>
      <c r="D94" s="44" t="s">
        <v>1997</v>
      </c>
      <c r="E94" s="44" t="s">
        <v>1996</v>
      </c>
      <c r="F94" s="37" t="s">
        <v>45</v>
      </c>
      <c r="G94" s="37" t="s">
        <v>1636</v>
      </c>
      <c r="H94" s="39" t="s">
        <v>1029</v>
      </c>
      <c r="I94" s="37" t="s">
        <v>45</v>
      </c>
      <c r="J94" s="38">
        <v>45013.336919178197</v>
      </c>
      <c r="K94" s="37" t="s">
        <v>1810</v>
      </c>
      <c r="L94" s="37" t="s">
        <v>1810</v>
      </c>
      <c r="M94" s="37" t="s">
        <v>1810</v>
      </c>
      <c r="N94" s="37" t="s">
        <v>1810</v>
      </c>
      <c r="O94" s="37" t="s">
        <v>1810</v>
      </c>
      <c r="P94" s="37" t="s">
        <v>1810</v>
      </c>
      <c r="Q94" s="37" t="s">
        <v>1810</v>
      </c>
      <c r="R94" s="41">
        <v>45026</v>
      </c>
      <c r="S94" s="41">
        <v>45026</v>
      </c>
    </row>
    <row r="95" spans="1:19" x14ac:dyDescent="0.35">
      <c r="A95" s="37" t="s">
        <v>1994</v>
      </c>
      <c r="B95" s="37" t="s">
        <v>1993</v>
      </c>
      <c r="C95" s="37" t="s">
        <v>1292</v>
      </c>
      <c r="D95" s="44" t="s">
        <v>1997</v>
      </c>
      <c r="E95" s="44" t="s">
        <v>1996</v>
      </c>
      <c r="F95" s="37" t="s">
        <v>45</v>
      </c>
      <c r="G95" s="37" t="s">
        <v>1636</v>
      </c>
      <c r="H95" s="39" t="s">
        <v>1029</v>
      </c>
      <c r="I95" s="37" t="s">
        <v>45</v>
      </c>
      <c r="J95" s="38">
        <v>45013.241677048602</v>
      </c>
      <c r="K95" s="37" t="s">
        <v>1810</v>
      </c>
      <c r="L95" s="37" t="s">
        <v>1810</v>
      </c>
      <c r="M95" s="37" t="s">
        <v>1810</v>
      </c>
      <c r="N95" s="37" t="s">
        <v>1810</v>
      </c>
      <c r="O95" s="37" t="s">
        <v>1905</v>
      </c>
      <c r="P95" s="37" t="s">
        <v>1810</v>
      </c>
      <c r="Q95" s="37" t="s">
        <v>1810</v>
      </c>
      <c r="R95" s="41">
        <v>45005</v>
      </c>
      <c r="S95" s="41">
        <v>45013</v>
      </c>
    </row>
  </sheetData>
  <autoFilter ref="A2:S2" xr:uid="{1BDEACB1-AB77-49D6-AAF7-1C617976AE90}"/>
  <hyperlinks>
    <hyperlink ref="D1" location="Summary!A1" display="Back to summary" xr:uid="{914D8551-146D-4DA7-8902-C89F5BD2DF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Critical Jobs &gt; 10 Days</vt:lpstr>
      <vt:lpstr> Critical Jobs &gt; 200 Hrs</vt:lpstr>
      <vt:lpstr>Non Critical Jobs &gt; 1 Month</vt:lpstr>
      <vt:lpstr>Non-Critical Jobs &gt; 500 Hrs</vt:lpstr>
      <vt:lpstr>Counters Not Updated</vt:lpstr>
      <vt:lpstr>Critical Spares &lt; Min. Stock</vt:lpstr>
      <vt:lpstr>WO's Awaiting Approval</vt:lpstr>
      <vt:lpstr>Expired Certificates</vt:lpstr>
      <vt:lpstr>Certificates Awaiting Approval</vt:lpstr>
      <vt:lpstr>Overdue Surveys</vt:lpstr>
      <vt:lpstr>Expired Defects</vt:lpstr>
      <vt:lpstr>Vir defects</vt:lpstr>
      <vt:lpstr>VIR Reports</vt:lpstr>
      <vt:lpstr>Audit Reports</vt:lpstr>
      <vt:lpstr>All inspections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Udaya Sri Narala</dc:creator>
  <cp:lastModifiedBy>Ruchita Saindane</cp:lastModifiedBy>
  <dcterms:created xsi:type="dcterms:W3CDTF">2026-06-17T04:12:12Z</dcterms:created>
  <dcterms:modified xsi:type="dcterms:W3CDTF">2026-06-18T06:03:40Z</dcterms:modified>
</cp:coreProperties>
</file>